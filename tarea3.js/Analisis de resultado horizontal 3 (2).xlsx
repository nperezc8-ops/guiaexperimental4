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6078953-87F3-46AB-A008-560045E79656}" xr6:coauthVersionLast="47" xr6:coauthVersionMax="47" xr10:uidLastSave="{00000000-0000-0000-0000-000000000000}"/>
  <bookViews>
    <workbookView xWindow="2544" yWindow="2544" windowWidth="17280" windowHeight="8880" xr2:uid="{EA0D4540-100F-4C76-8013-631B12358D96}"/>
  </bookViews>
  <sheets>
    <sheet name="ANALISIS HORIZONTA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B21" i="1"/>
  <c r="D36" i="1"/>
  <c r="E36" i="1" s="1"/>
  <c r="D34" i="1"/>
  <c r="E34" i="1" s="1"/>
  <c r="D32" i="1"/>
  <c r="E32" i="1" s="1"/>
  <c r="D30" i="1"/>
  <c r="E30" i="1" s="1"/>
  <c r="D21" i="1"/>
  <c r="E21" i="1" s="1"/>
  <c r="D19" i="1"/>
  <c r="E19" i="1" s="1"/>
  <c r="D17" i="1"/>
  <c r="E17" i="1" s="1"/>
  <c r="D15" i="1"/>
  <c r="E15" i="1" s="1"/>
  <c r="D13" i="1"/>
  <c r="E13" i="1" s="1"/>
  <c r="D11" i="1"/>
  <c r="E11" i="1" s="1"/>
  <c r="D9" i="1"/>
  <c r="E9" i="1" s="1"/>
  <c r="D7" i="1"/>
  <c r="E7" i="1" s="1"/>
</calcChain>
</file>

<file path=xl/sharedStrings.xml><?xml version="1.0" encoding="utf-8"?>
<sst xmlns="http://schemas.openxmlformats.org/spreadsheetml/2006/main" count="22" uniqueCount="19">
  <si>
    <t>Variación Absoluta : Valor 2024-2023</t>
  </si>
  <si>
    <t>ACTIVO CORRIENTE</t>
  </si>
  <si>
    <t>ACTIVO NO CORRIENTE</t>
  </si>
  <si>
    <t>TOTAL ACTIVO</t>
  </si>
  <si>
    <t>PASIVO CORRIENTE</t>
  </si>
  <si>
    <t xml:space="preserve">PASIVO NO CORRIENTE </t>
  </si>
  <si>
    <t>TOTAL PASIVO</t>
  </si>
  <si>
    <t xml:space="preserve">TOTAL DE PASIVO </t>
  </si>
  <si>
    <t>Y PATRIMONIO</t>
  </si>
  <si>
    <t>VARICION ABSOLUTA</t>
  </si>
  <si>
    <t>VARIACION RELATIVA</t>
  </si>
  <si>
    <t>CUENTA PRINCIPAL</t>
  </si>
  <si>
    <t>ANALISIS HORIZONTAL  DEL ESTADO DE SITUACION FINANCIERA (BALANCE GENERAL)</t>
  </si>
  <si>
    <t>ANALISIS HORIZONTAL  DEL ESTADO DE RESULTADO INTEGRAL</t>
  </si>
  <si>
    <t>PATRIMONIO</t>
  </si>
  <si>
    <t>MARGEN BRUTO</t>
  </si>
  <si>
    <t>INGRESO POR VENTAS</t>
  </si>
  <si>
    <t>COSTO DE VENTAS</t>
  </si>
  <si>
    <t>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</si>
</sst>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4" fontId="0" fillId="0" borderId="1" xfId="1" applyFont="1" applyBorder="1"/>
    <xf numFmtId="9" fontId="0" fillId="0" borderId="1" xfId="2" applyFont="1" applyBorder="1" applyAlignment="1">
      <alignment horizontal="center"/>
    </xf>
    <xf numFmtId="0" fontId="2" fillId="0" borderId="0" xfId="0" applyFont="1"/>
    <xf numFmtId="0" fontId="0" fillId="2" borderId="1" xfId="0" applyFill="1" applyBorder="1"/>
    <xf numFmtId="44" fontId="0" fillId="2" borderId="1" xfId="1" applyFont="1" applyFill="1" applyBorder="1"/>
    <xf numFmtId="10" fontId="0" fillId="2" borderId="1" xfId="2" applyNumberFormat="1" applyFont="1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/>
    <xf numFmtId="10" fontId="0" fillId="3" borderId="1" xfId="2" applyNumberFormat="1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Border="1"/>
    <xf numFmtId="44" fontId="0" fillId="3" borderId="1" xfId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HORIZONTAL '!$A$3</c:f>
              <c:strCache>
                <c:ptCount val="1"/>
                <c:pt idx="0">
                  <c:v>Variación Absoluta : Valor 2024-2023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HORIZONTAL '!$A$7:$A$22</c:f>
              <c:strCache>
                <c:ptCount val="16"/>
                <c:pt idx="0">
                  <c:v>ACTIVO CORRIENTE</c:v>
                </c:pt>
                <c:pt idx="2">
                  <c:v>ACTIVO NO CORRIENTE</c:v>
                </c:pt>
                <c:pt idx="4">
                  <c:v>TOTAL ACTIVO</c:v>
                </c:pt>
                <c:pt idx="6">
                  <c:v>PASIVO CORRIENTE</c:v>
                </c:pt>
                <c:pt idx="8">
                  <c:v>PASIVO NO CORRIENTE </c:v>
                </c:pt>
                <c:pt idx="10">
                  <c:v>TOTAL PASIVO</c:v>
                </c:pt>
                <c:pt idx="12">
                  <c:v>PATRIMONIO</c:v>
                </c:pt>
                <c:pt idx="14">
                  <c:v>TOTAL DE PASIVO </c:v>
                </c:pt>
                <c:pt idx="15">
                  <c:v>Y PATRIMONIO</c:v>
                </c:pt>
              </c:strCache>
            </c:strRef>
          </c:cat>
          <c:val>
            <c:numRef>
              <c:f>'ANALISIS HORIZONTAL '!$B$7:$B$22</c:f>
              <c:numCache>
                <c:formatCode>_("$"* #,##0.00_);_("$"* \(#,##0.00\);_("$"* "-"??_);_(@_)</c:formatCode>
                <c:ptCount val="16"/>
                <c:pt idx="0">
                  <c:v>96453</c:v>
                </c:pt>
                <c:pt idx="2">
                  <c:v>334690</c:v>
                </c:pt>
                <c:pt idx="4">
                  <c:v>431143</c:v>
                </c:pt>
                <c:pt idx="6">
                  <c:v>252239</c:v>
                </c:pt>
                <c:pt idx="8">
                  <c:v>10461</c:v>
                </c:pt>
                <c:pt idx="10">
                  <c:v>262700</c:v>
                </c:pt>
                <c:pt idx="12">
                  <c:v>168443</c:v>
                </c:pt>
                <c:pt idx="14">
                  <c:v>431143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27-4B94-AF24-6284E2018167}"/>
            </c:ext>
          </c:extLst>
        </c:ser>
        <c:ser>
          <c:idx val="1"/>
          <c:order val="1"/>
          <c:tx>
            <c:strRef>
              <c:f>'ANALISIS HORIZONTAL '!$A$3</c:f>
              <c:strCache>
                <c:ptCount val="1"/>
                <c:pt idx="0">
                  <c:v>Variación Absoluta : Valor 2024-2023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'ANALISIS HORIZONTAL '!$C$7:$C$22</c:f>
              <c:numCache>
                <c:formatCode>_("$"* #,##0.00_);_("$"* \(#,##0.00\);_("$"* "-"??_);_(@_)</c:formatCode>
                <c:ptCount val="16"/>
                <c:pt idx="0">
                  <c:v>150819</c:v>
                </c:pt>
                <c:pt idx="2">
                  <c:v>342565</c:v>
                </c:pt>
                <c:pt idx="4">
                  <c:v>493384</c:v>
                </c:pt>
                <c:pt idx="6">
                  <c:v>274175</c:v>
                </c:pt>
                <c:pt idx="8">
                  <c:v>83745</c:v>
                </c:pt>
                <c:pt idx="10">
                  <c:v>357920</c:v>
                </c:pt>
                <c:pt idx="12">
                  <c:v>135464</c:v>
                </c:pt>
                <c:pt idx="14">
                  <c:v>493384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27-4B94-AF24-6284E201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546592"/>
        <c:axId val="692545344"/>
      </c:barChart>
      <c:catAx>
        <c:axId val="69254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92545344"/>
        <c:crosses val="autoZero"/>
        <c:auto val="1"/>
        <c:lblAlgn val="ctr"/>
        <c:lblOffset val="100"/>
        <c:noMultiLvlLbl val="0"/>
      </c:catAx>
      <c:valAx>
        <c:axId val="69254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9254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HORIZONTAL '!$A$3</c:f>
              <c:strCache>
                <c:ptCount val="1"/>
                <c:pt idx="0">
                  <c:v>Variación Absoluta : Valor 2024-2023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HORIZONTAL '!$A$30:$A$38</c:f>
              <c:strCache>
                <c:ptCount val="7"/>
                <c:pt idx="0">
                  <c:v>INGRESO POR VENTAS</c:v>
                </c:pt>
                <c:pt idx="2">
                  <c:v>COSTO DE VENTAS</c:v>
                </c:pt>
                <c:pt idx="4">
                  <c:v>MARGEN BRUTO</c:v>
                </c:pt>
                <c:pt idx="6">
                  <c:v>UTILIDAD NETA</c:v>
                </c:pt>
              </c:strCache>
            </c:strRef>
          </c:cat>
          <c:val>
            <c:numRef>
              <c:f>'ANALISIS HORIZONTAL '!$B$30:$B$38</c:f>
              <c:numCache>
                <c:formatCode>_("$"* #,##0.00_);_("$"* \(#,##0.00\);_("$"* "-"??_);_(@_)</c:formatCode>
                <c:ptCount val="9"/>
                <c:pt idx="0">
                  <c:v>384240</c:v>
                </c:pt>
                <c:pt idx="2">
                  <c:v>-222269</c:v>
                </c:pt>
                <c:pt idx="4">
                  <c:v>161971</c:v>
                </c:pt>
                <c:pt idx="6">
                  <c:v>58614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62-4665-BE78-BE9129213D8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'ANALISIS HORIZONTAL '!$D$30:$D$38</c:f>
              <c:numCache>
                <c:formatCode>_("$"* #,##0.00_);_("$"* \(#,##0.00\);_("$"* "-"??_);_(@_)</c:formatCode>
                <c:ptCount val="9"/>
                <c:pt idx="0">
                  <c:v>-1850</c:v>
                </c:pt>
                <c:pt idx="2">
                  <c:v>4830</c:v>
                </c:pt>
                <c:pt idx="4">
                  <c:v>2980</c:v>
                </c:pt>
                <c:pt idx="6">
                  <c:v>-8166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62-4665-BE78-BE9129213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193104"/>
        <c:axId val="640195600"/>
      </c:barChart>
      <c:catAx>
        <c:axId val="640193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40195600"/>
        <c:crosses val="autoZero"/>
        <c:auto val="1"/>
        <c:lblAlgn val="ctr"/>
        <c:lblOffset val="100"/>
        <c:noMultiLvlLbl val="0"/>
      </c:catAx>
      <c:valAx>
        <c:axId val="6401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4019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37</xdr:row>
      <xdr:rowOff>26670</xdr:rowOff>
    </xdr:from>
    <xdr:to>
      <xdr:col>3</xdr:col>
      <xdr:colOff>495300</xdr:colOff>
      <xdr:row>52</xdr:row>
      <xdr:rowOff>26670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B8B238-E4AE-4F74-B51F-4F7240120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830580</xdr:colOff>
      <xdr:row>37</xdr:row>
      <xdr:rowOff>41910</xdr:rowOff>
    </xdr:from>
    <xdr:to>
      <xdr:col>8</xdr:col>
      <xdr:colOff>502920</xdr:colOff>
      <xdr:row>52</xdr:row>
      <xdr:rowOff>41910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4A9246-65E9-4D4E-863C-12FA1C0AB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4FB1-9B8D-460F-9CC9-595779F601EB}">
  <dimension ref="A2:G53"/>
  <sheetViews>
    <sheetView tabSelected="1" topLeftCell="A7" workbookViewId="0">
      <selection activeCell="B23" sqref="B23"/>
    </sheetView>
  </sheetViews>
  <sheetFormatPr baseColWidth="10" defaultRowHeight="14.4" x14ac:dyDescent="0.3"/>
  <cols>
    <col min="1" max="1" width="26.109375" customWidth="1"/>
    <col min="2" max="2" width="18.44140625" customWidth="1"/>
    <col min="3" max="3" width="20.44140625" customWidth="1"/>
    <col min="4" max="4" width="18.44140625" customWidth="1"/>
    <col min="5" max="5" width="18.33203125" customWidth="1"/>
  </cols>
  <sheetData>
    <row r="2" spans="1:5" x14ac:dyDescent="0.3">
      <c r="C2" s="4" t="s">
        <v>12</v>
      </c>
    </row>
    <row r="3" spans="1:5" x14ac:dyDescent="0.3">
      <c r="A3" t="s">
        <v>0</v>
      </c>
    </row>
    <row r="5" spans="1:5" x14ac:dyDescent="0.3">
      <c r="A5" s="15" t="s">
        <v>11</v>
      </c>
      <c r="B5" s="15">
        <v>2024</v>
      </c>
      <c r="C5" s="15">
        <v>2023</v>
      </c>
      <c r="D5" s="15" t="s">
        <v>9</v>
      </c>
      <c r="E5" s="15" t="s">
        <v>10</v>
      </c>
    </row>
    <row r="6" spans="1:5" x14ac:dyDescent="0.3">
      <c r="A6" s="15"/>
      <c r="B6" s="15"/>
      <c r="C6" s="15"/>
      <c r="D6" s="15"/>
      <c r="E6" s="15"/>
    </row>
    <row r="7" spans="1:5" x14ac:dyDescent="0.3">
      <c r="A7" s="5" t="s">
        <v>1</v>
      </c>
      <c r="B7" s="6">
        <v>96453</v>
      </c>
      <c r="C7" s="6">
        <v>150819</v>
      </c>
      <c r="D7" s="6">
        <f>B7-C7</f>
        <v>-54366</v>
      </c>
      <c r="E7" s="7">
        <f>D7/C7*100%</f>
        <v>-0.36047182384182364</v>
      </c>
    </row>
    <row r="8" spans="1:5" x14ac:dyDescent="0.3">
      <c r="A8" s="1"/>
      <c r="B8" s="2"/>
      <c r="C8" s="2"/>
      <c r="D8" s="2"/>
      <c r="E8" s="3"/>
    </row>
    <row r="9" spans="1:5" x14ac:dyDescent="0.3">
      <c r="A9" s="8" t="s">
        <v>2</v>
      </c>
      <c r="B9" s="9">
        <v>334690</v>
      </c>
      <c r="C9" s="9">
        <v>342565</v>
      </c>
      <c r="D9" s="9">
        <f>B9-C9</f>
        <v>-7875</v>
      </c>
      <c r="E9" s="10">
        <f>D9/C9*100%</f>
        <v>-2.2988337979653495E-2</v>
      </c>
    </row>
    <row r="10" spans="1:5" x14ac:dyDescent="0.3">
      <c r="A10" s="1"/>
      <c r="B10" s="2"/>
      <c r="C10" s="2"/>
      <c r="D10" s="2"/>
      <c r="E10" s="3"/>
    </row>
    <row r="11" spans="1:5" x14ac:dyDescent="0.3">
      <c r="A11" s="5" t="s">
        <v>3</v>
      </c>
      <c r="B11" s="6">
        <v>431143</v>
      </c>
      <c r="C11" s="6">
        <v>493384</v>
      </c>
      <c r="D11" s="6">
        <f>B11-C11</f>
        <v>-62241</v>
      </c>
      <c r="E11" s="7">
        <f>D11/C11*100%</f>
        <v>-0.12615123311659884</v>
      </c>
    </row>
    <row r="12" spans="1:5" x14ac:dyDescent="0.3">
      <c r="A12" s="1"/>
      <c r="B12" s="2"/>
      <c r="C12" s="2"/>
      <c r="D12" s="2"/>
      <c r="E12" s="3"/>
    </row>
    <row r="13" spans="1:5" x14ac:dyDescent="0.3">
      <c r="A13" s="8" t="s">
        <v>4</v>
      </c>
      <c r="B13" s="9">
        <v>252239</v>
      </c>
      <c r="C13" s="9">
        <v>274175</v>
      </c>
      <c r="D13" s="9">
        <f>B13-C13</f>
        <v>-21936</v>
      </c>
      <c r="E13" s="10">
        <f>D13/C13*100%</f>
        <v>-8.0007294611106047E-2</v>
      </c>
    </row>
    <row r="14" spans="1:5" x14ac:dyDescent="0.3">
      <c r="A14" s="1"/>
      <c r="B14" s="2"/>
      <c r="C14" s="2"/>
      <c r="D14" s="2"/>
      <c r="E14" s="3"/>
    </row>
    <row r="15" spans="1:5" x14ac:dyDescent="0.3">
      <c r="A15" s="5" t="s">
        <v>5</v>
      </c>
      <c r="B15" s="6">
        <v>10461</v>
      </c>
      <c r="C15" s="6">
        <v>83745</v>
      </c>
      <c r="D15" s="6">
        <f>B15-C15</f>
        <v>-73284</v>
      </c>
      <c r="E15" s="7">
        <f>D15/C15*100%</f>
        <v>-0.87508507970625116</v>
      </c>
    </row>
    <row r="16" spans="1:5" x14ac:dyDescent="0.3">
      <c r="A16" s="1"/>
      <c r="B16" s="2"/>
      <c r="C16" s="2"/>
      <c r="D16" s="2"/>
      <c r="E16" s="3"/>
    </row>
    <row r="17" spans="1:5" x14ac:dyDescent="0.3">
      <c r="A17" s="8" t="s">
        <v>6</v>
      </c>
      <c r="B17" s="9">
        <v>262700</v>
      </c>
      <c r="C17" s="9">
        <v>357920</v>
      </c>
      <c r="D17" s="9">
        <f>B17-C17</f>
        <v>-95220</v>
      </c>
      <c r="E17" s="10">
        <f>D17/C17*100%</f>
        <v>-0.26603710326329905</v>
      </c>
    </row>
    <row r="18" spans="1:5" x14ac:dyDescent="0.3">
      <c r="A18" s="1"/>
      <c r="B18" s="2"/>
      <c r="C18" s="2"/>
      <c r="D18" s="2"/>
      <c r="E18" s="3"/>
    </row>
    <row r="19" spans="1:5" x14ac:dyDescent="0.3">
      <c r="A19" s="5" t="s">
        <v>14</v>
      </c>
      <c r="B19" s="6">
        <v>168443</v>
      </c>
      <c r="C19" s="6">
        <v>135464</v>
      </c>
      <c r="D19" s="6">
        <f>B19-C19</f>
        <v>32979</v>
      </c>
      <c r="E19" s="7">
        <f>D19/C19*100%</f>
        <v>0.24345213488454498</v>
      </c>
    </row>
    <row r="20" spans="1:5" x14ac:dyDescent="0.3">
      <c r="A20" s="1"/>
      <c r="B20" s="2"/>
      <c r="C20" s="2"/>
      <c r="D20" s="2"/>
      <c r="E20" s="3"/>
    </row>
    <row r="21" spans="1:5" x14ac:dyDescent="0.3">
      <c r="A21" s="8" t="s">
        <v>7</v>
      </c>
      <c r="B21" s="13">
        <f>B17+B19</f>
        <v>431143</v>
      </c>
      <c r="C21" s="13">
        <f>C17+C19</f>
        <v>493384</v>
      </c>
      <c r="D21" s="13">
        <f>B21-C21</f>
        <v>-62241</v>
      </c>
      <c r="E21" s="14">
        <f>D21/C21*100%</f>
        <v>-0.12615123311659884</v>
      </c>
    </row>
    <row r="22" spans="1:5" x14ac:dyDescent="0.3">
      <c r="A22" s="8" t="s">
        <v>8</v>
      </c>
      <c r="B22" s="13"/>
      <c r="C22" s="13"/>
      <c r="D22" s="13"/>
      <c r="E22" s="14"/>
    </row>
    <row r="23" spans="1:5" x14ac:dyDescent="0.3">
      <c r="C23" s="16"/>
    </row>
    <row r="25" spans="1:5" x14ac:dyDescent="0.3">
      <c r="C25" s="4" t="s">
        <v>13</v>
      </c>
    </row>
    <row r="28" spans="1:5" x14ac:dyDescent="0.3">
      <c r="A28" s="15" t="s">
        <v>11</v>
      </c>
      <c r="B28" s="15">
        <v>2024</v>
      </c>
      <c r="C28" s="15">
        <v>2023</v>
      </c>
      <c r="D28" s="15" t="s">
        <v>9</v>
      </c>
      <c r="E28" s="15" t="s">
        <v>10</v>
      </c>
    </row>
    <row r="29" spans="1:5" x14ac:dyDescent="0.3">
      <c r="A29" s="15"/>
      <c r="B29" s="15"/>
      <c r="C29" s="15"/>
      <c r="D29" s="15"/>
      <c r="E29" s="15"/>
    </row>
    <row r="30" spans="1:5" x14ac:dyDescent="0.3">
      <c r="A30" s="5" t="s">
        <v>16</v>
      </c>
      <c r="B30" s="6">
        <v>384240</v>
      </c>
      <c r="C30" s="6">
        <v>386090</v>
      </c>
      <c r="D30" s="6">
        <f>B30-C30</f>
        <v>-1850</v>
      </c>
      <c r="E30" s="7">
        <f>D30/C30*100%</f>
        <v>-4.7916288948172707E-3</v>
      </c>
    </row>
    <row r="31" spans="1:5" x14ac:dyDescent="0.3">
      <c r="A31" s="1"/>
      <c r="B31" s="2"/>
      <c r="C31" s="2"/>
      <c r="D31" s="2"/>
      <c r="E31" s="3"/>
    </row>
    <row r="32" spans="1:5" x14ac:dyDescent="0.3">
      <c r="A32" s="8" t="s">
        <v>17</v>
      </c>
      <c r="B32" s="9">
        <v>-222269</v>
      </c>
      <c r="C32" s="9">
        <v>-227099</v>
      </c>
      <c r="D32" s="9">
        <f>B32-C32</f>
        <v>4830</v>
      </c>
      <c r="E32" s="10">
        <f>D32/C32*100%</f>
        <v>-2.1268257455999365E-2</v>
      </c>
    </row>
    <row r="33" spans="1:7" x14ac:dyDescent="0.3">
      <c r="A33" s="1"/>
      <c r="B33" s="2"/>
      <c r="C33" s="2"/>
      <c r="D33" s="2"/>
      <c r="E33" s="3"/>
    </row>
    <row r="34" spans="1:7" x14ac:dyDescent="0.3">
      <c r="A34" s="5" t="s">
        <v>15</v>
      </c>
      <c r="B34" s="6">
        <v>161971</v>
      </c>
      <c r="C34" s="6">
        <v>158991</v>
      </c>
      <c r="D34" s="6">
        <f>B34-C34</f>
        <v>2980</v>
      </c>
      <c r="E34" s="7">
        <f>D34/C34*100%</f>
        <v>1.874319930058934E-2</v>
      </c>
    </row>
    <row r="35" spans="1:7" x14ac:dyDescent="0.3">
      <c r="A35" s="1"/>
      <c r="B35" s="2"/>
      <c r="C35" s="2"/>
      <c r="D35" s="2"/>
      <c r="E35" s="3"/>
    </row>
    <row r="36" spans="1:7" x14ac:dyDescent="0.3">
      <c r="A36" s="8" t="s">
        <v>18</v>
      </c>
      <c r="B36" s="9">
        <v>58614</v>
      </c>
      <c r="C36" s="9">
        <v>66780</v>
      </c>
      <c r="D36" s="9">
        <f>B36-C36</f>
        <v>-8166</v>
      </c>
      <c r="E36" s="10">
        <f>D36/C36*100%</f>
        <v>-0.12228212039532795</v>
      </c>
    </row>
    <row r="37" spans="1:7" x14ac:dyDescent="0.3">
      <c r="A37" s="11"/>
      <c r="B37" s="11"/>
      <c r="C37" s="11"/>
      <c r="D37" s="11"/>
      <c r="E37" s="11"/>
      <c r="F37" s="11"/>
      <c r="G37" s="11"/>
    </row>
    <row r="38" spans="1:7" x14ac:dyDescent="0.3">
      <c r="A38" s="11"/>
      <c r="B38" s="11"/>
      <c r="C38" s="11"/>
      <c r="D38" s="11"/>
      <c r="E38" s="11"/>
      <c r="F38" s="11"/>
      <c r="G38" s="11"/>
    </row>
    <row r="39" spans="1:7" x14ac:dyDescent="0.3">
      <c r="A39" s="11"/>
      <c r="B39" s="11"/>
      <c r="C39" s="11"/>
      <c r="D39" s="11"/>
      <c r="E39" s="11"/>
      <c r="F39" s="11"/>
      <c r="G39" s="11"/>
    </row>
    <row r="40" spans="1:7" x14ac:dyDescent="0.3">
      <c r="A40" s="11"/>
      <c r="B40" s="11"/>
      <c r="C40" s="11"/>
      <c r="D40" s="11"/>
      <c r="E40" s="11"/>
      <c r="F40" s="11"/>
      <c r="G40" s="11"/>
    </row>
    <row r="41" spans="1:7" x14ac:dyDescent="0.3">
      <c r="A41" s="11"/>
      <c r="B41" s="11"/>
      <c r="C41" s="11"/>
      <c r="D41" s="11"/>
      <c r="E41" s="11"/>
      <c r="F41" s="11"/>
      <c r="G41" s="11"/>
    </row>
    <row r="42" spans="1:7" x14ac:dyDescent="0.3">
      <c r="A42" s="11"/>
      <c r="B42" s="11"/>
      <c r="C42" s="11"/>
      <c r="D42" s="11"/>
      <c r="E42" s="11"/>
      <c r="F42" s="11"/>
      <c r="G42" s="11"/>
    </row>
    <row r="43" spans="1:7" x14ac:dyDescent="0.3">
      <c r="A43" s="12"/>
    </row>
    <row r="53" spans="1:1" x14ac:dyDescent="0.3">
      <c r="A53" s="4"/>
    </row>
  </sheetData>
  <mergeCells count="14">
    <mergeCell ref="A5:A6"/>
    <mergeCell ref="B5:B6"/>
    <mergeCell ref="C5:C6"/>
    <mergeCell ref="D5:D6"/>
    <mergeCell ref="E5:E6"/>
    <mergeCell ref="B21:B22"/>
    <mergeCell ref="C21:C22"/>
    <mergeCell ref="D21:D22"/>
    <mergeCell ref="E21:E22"/>
    <mergeCell ref="A28:A29"/>
    <mergeCell ref="B28:B29"/>
    <mergeCell ref="C28:C29"/>
    <mergeCell ref="D28:D29"/>
    <mergeCell ref="E28:E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ANALISIS HORIZONTAL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Marilu Barberan</dc:creator>
  <cp:lastModifiedBy>Marilu Barberan</cp:lastModifiedBy>
  <dcterms:created xsi:type="dcterms:W3CDTF">2025-10-24T16:14:13Z</dcterms:created>
  <dcterms:modified xsi:type="dcterms:W3CDTF">2025-10-31T17:34:59Z</dcterms:modified>
</cp:coreProperties>
</file>