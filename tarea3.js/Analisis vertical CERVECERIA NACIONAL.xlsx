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1\Documents\"/>
    </mc:Choice>
  </mc:AlternateContent>
  <xr:revisionPtr revIDLastSave="0" documentId="13_ncr:1_{5381E4B8-9618-4D7B-BF73-7CAB7A01DBD1}" xr6:coauthVersionLast="47" xr6:coauthVersionMax="47" xr10:uidLastSave="{00000000-0000-0000-0000-000000000000}"/>
  <bookViews>
    <workbookView xWindow="-120" yWindow="-120" windowWidth="20730" windowHeight="11160" xr2:uid="{8F03FC9D-1D6A-4312-96DD-0191E7581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0" i="1" l="1"/>
  <c r="I55" i="1"/>
  <c r="I56" i="1"/>
  <c r="I57" i="1"/>
  <c r="I61" i="1"/>
  <c r="I63" i="1"/>
  <c r="I65" i="1"/>
  <c r="I48" i="1"/>
  <c r="G50" i="1"/>
  <c r="G55" i="1"/>
  <c r="G56" i="1"/>
  <c r="G57" i="1"/>
  <c r="G61" i="1"/>
  <c r="G63" i="1"/>
  <c r="G65" i="1"/>
  <c r="G48" i="1"/>
  <c r="H67" i="1"/>
  <c r="H75" i="1" s="1"/>
  <c r="F67" i="1"/>
  <c r="F75" i="1" s="1"/>
  <c r="H52" i="1"/>
  <c r="H59" i="1" s="1"/>
  <c r="I59" i="1" s="1"/>
  <c r="F52" i="1"/>
  <c r="F59" i="1" s="1"/>
  <c r="G59" i="1" s="1"/>
  <c r="R42" i="1"/>
  <c r="P42" i="1"/>
  <c r="R30" i="1"/>
  <c r="P30" i="1"/>
  <c r="R22" i="1"/>
  <c r="P22" i="1"/>
  <c r="H29" i="1"/>
  <c r="F29" i="1"/>
  <c r="H19" i="1"/>
  <c r="F19" i="1"/>
  <c r="F33" i="1" l="1"/>
  <c r="Q19" i="1" s="1"/>
  <c r="H33" i="1"/>
  <c r="I52" i="1"/>
  <c r="G15" i="1"/>
  <c r="G27" i="1"/>
  <c r="G16" i="1"/>
  <c r="Q30" i="1"/>
  <c r="Q15" i="1"/>
  <c r="Q22" i="1"/>
  <c r="Q18" i="1"/>
  <c r="G33" i="1"/>
  <c r="G19" i="1"/>
  <c r="I15" i="1"/>
  <c r="I27" i="1"/>
  <c r="Q39" i="1"/>
  <c r="Q29" i="1"/>
  <c r="Q17" i="1"/>
  <c r="S37" i="1"/>
  <c r="S28" i="1"/>
  <c r="G67" i="1"/>
  <c r="G52" i="1"/>
  <c r="I67" i="1"/>
  <c r="G18" i="1"/>
  <c r="I33" i="1"/>
  <c r="I26" i="1"/>
  <c r="Q42" i="1"/>
  <c r="Q38" i="1"/>
  <c r="Q28" i="1"/>
  <c r="S36" i="1"/>
  <c r="S27" i="1"/>
  <c r="F74" i="1"/>
  <c r="G74" i="1" s="1"/>
  <c r="G28" i="1"/>
  <c r="G24" i="1"/>
  <c r="I18" i="1"/>
  <c r="R32" i="1"/>
  <c r="R44" i="1" s="1"/>
  <c r="S44" i="1" s="1"/>
  <c r="Q37" i="1"/>
  <c r="Q27" i="1"/>
  <c r="S39" i="1"/>
  <c r="H74" i="1"/>
  <c r="I74" i="1" s="1"/>
  <c r="S32" i="1"/>
  <c r="P32" i="1"/>
  <c r="P44" i="1" s="1"/>
  <c r="Q44" i="1" s="1"/>
  <c r="S18" i="1" l="1"/>
  <c r="S29" i="1"/>
  <c r="I17" i="1"/>
  <c r="S38" i="1"/>
  <c r="I24" i="1"/>
  <c r="S17" i="1"/>
  <c r="I28" i="1"/>
  <c r="S21" i="1"/>
  <c r="I25" i="1"/>
  <c r="S15" i="1"/>
  <c r="I16" i="1"/>
  <c r="S30" i="1"/>
  <c r="S22" i="1"/>
  <c r="S26" i="1"/>
  <c r="S42" i="1"/>
  <c r="G17" i="1"/>
  <c r="S19" i="1"/>
  <c r="Q20" i="1"/>
  <c r="I19" i="1"/>
  <c r="G25" i="1"/>
  <c r="S20" i="1"/>
  <c r="Q21" i="1"/>
  <c r="I23" i="1"/>
  <c r="G26" i="1"/>
  <c r="Q36" i="1"/>
  <c r="G23" i="1"/>
  <c r="G29" i="1"/>
  <c r="I29" i="1"/>
  <c r="Q32" i="1"/>
</calcChain>
</file>

<file path=xl/sharedStrings.xml><?xml version="1.0" encoding="utf-8"?>
<sst xmlns="http://schemas.openxmlformats.org/spreadsheetml/2006/main" count="87" uniqueCount="72">
  <si>
    <t>CERVECERÍA NACIONAL CN S.A .</t>
  </si>
  <si>
    <t>ESTADO DE SITUACIÓN FINANCIERA</t>
  </si>
  <si>
    <t xml:space="preserve"> AL 31 DE DICIEMBRE DEL 2024</t>
  </si>
  <si>
    <t>(EXPRESADO EN MILES DOLARES DE LOS ESTADOS UNIDOS DE AMERICA</t>
  </si>
  <si>
    <t>ACTIVOS</t>
  </si>
  <si>
    <t>ACTIVOS CORRIENTES:</t>
  </si>
  <si>
    <t>Efectivo</t>
  </si>
  <si>
    <t>Cuentas por cobrar a compañías relacionadas:</t>
  </si>
  <si>
    <t xml:space="preserve">Otras cuentas por cobrar </t>
  </si>
  <si>
    <t>Inventarios</t>
  </si>
  <si>
    <t>Total de activos corrientes</t>
  </si>
  <si>
    <t>ACTIVOS NO CORRIENTES</t>
  </si>
  <si>
    <t>Propiedades, plantas y equipos</t>
  </si>
  <si>
    <t>Plusvalía mercantil</t>
  </si>
  <si>
    <t>Activos intangibles</t>
  </si>
  <si>
    <t>Activos por derecho de uso</t>
  </si>
  <si>
    <t>Otros activos no corrientes</t>
  </si>
  <si>
    <t xml:space="preserve">Impuestos diferidos </t>
  </si>
  <si>
    <t>Total de activos no corrientes</t>
  </si>
  <si>
    <t>TOTAL DE ACTIVOS</t>
  </si>
  <si>
    <t>NOTAS</t>
  </si>
  <si>
    <t>(en miles U.S dólares)</t>
  </si>
  <si>
    <t>Porcentual</t>
  </si>
  <si>
    <t>PASIVO Y PATRIMONIO</t>
  </si>
  <si>
    <t>PASIVOS:</t>
  </si>
  <si>
    <t>PASIVOS CORRIENTES:</t>
  </si>
  <si>
    <t>Cuentas por pagar comerciales</t>
  </si>
  <si>
    <t>y otras cuentas por pagar</t>
  </si>
  <si>
    <t>Pasivo por acierdo a proveedores</t>
  </si>
  <si>
    <t>Cuentas por pagar a compañias relacionadas</t>
  </si>
  <si>
    <t>Impuesto a la renta por pagar</t>
  </si>
  <si>
    <t xml:space="preserve">Cargo por impuesto a pagar </t>
  </si>
  <si>
    <t>Provisiones</t>
  </si>
  <si>
    <t xml:space="preserve">Total pasivos corrientes </t>
  </si>
  <si>
    <t>PASIVOS NO CORRIENTES</t>
  </si>
  <si>
    <t>Cuentas por pagar a compañías relacionadas</t>
  </si>
  <si>
    <t>-</t>
  </si>
  <si>
    <t>Pasivos por arrendamiento</t>
  </si>
  <si>
    <t>Obligaciones por beneficios definidos</t>
  </si>
  <si>
    <t>Total pasivos no corrientes</t>
  </si>
  <si>
    <t>TOTAL PASIVOS</t>
  </si>
  <si>
    <t>PATRIMONIO</t>
  </si>
  <si>
    <t>Capital social</t>
  </si>
  <si>
    <t>Reservas</t>
  </si>
  <si>
    <t>Otras contribuciones de capital</t>
  </si>
  <si>
    <t>Resultados acumulados</t>
  </si>
  <si>
    <t>TOTAL PATRIMONIO</t>
  </si>
  <si>
    <t>TOTAL PASIVOS Y PATRIMONIO</t>
  </si>
  <si>
    <t>Ver notas a los estados financieros</t>
  </si>
  <si>
    <t>ESTADO DE RESULTADO INTEGRAL</t>
  </si>
  <si>
    <t>POR EL AÑO TERMINADO EL 31 DE DICIEMBRE DEL 2024</t>
  </si>
  <si>
    <t>Ingresos por ventas</t>
  </si>
  <si>
    <t>Costos de productos vendidos (1)</t>
  </si>
  <si>
    <t>MARGEN BRUTO</t>
  </si>
  <si>
    <t>GASTOS OPERATIVOS</t>
  </si>
  <si>
    <t>Gastos administrativos (1)</t>
  </si>
  <si>
    <t>Gastos de ventas (1)</t>
  </si>
  <si>
    <t>Otros egresos, netos</t>
  </si>
  <si>
    <t>UTILIDAD OPERACIONAL</t>
  </si>
  <si>
    <t>Gastos financieros</t>
  </si>
  <si>
    <t xml:space="preserve">UTILIDAD ANTES DE IMPUESTO A LA RENTA </t>
  </si>
  <si>
    <t xml:space="preserve">Impuesto a la venta </t>
  </si>
  <si>
    <t>UTILIDAD DEL AÑO</t>
  </si>
  <si>
    <t>Otros resultados integrales:</t>
  </si>
  <si>
    <t>Partidas que no se reclasificarán</t>
  </si>
  <si>
    <t xml:space="preserve">   posteriormente a resultados:</t>
  </si>
  <si>
    <t>Ganancias (pérdidas) actuariales</t>
  </si>
  <si>
    <t>RESULTADO INTEGRAL DEL AÑO</t>
  </si>
  <si>
    <t>Utilidad por acción básica y diluida</t>
  </si>
  <si>
    <t xml:space="preserve">Total acciones </t>
  </si>
  <si>
    <t>(1) Incluye US $17,177 (2023: USD 13,679) de participacion de los trabajadores en utilidades. Ver notas 6 y 17</t>
  </si>
  <si>
    <t>ANALISIS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</si>
</sst>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.00"/>
    <numFmt numFmtId="166" formatCode="[$$]#,##0"/>
    <numFmt numFmtId="167" formatCode="#,##0.00;\(#,##0.00\)"/>
    <numFmt numFmtId="168" formatCode="#,##0;\(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5" fillId="0" borderId="4" xfId="0" applyFont="1" applyBorder="1"/>
    <xf numFmtId="0" fontId="5" fillId="0" borderId="8" xfId="0" applyFont="1" applyBorder="1"/>
    <xf numFmtId="0" fontId="6" fillId="0" borderId="2" xfId="0" applyFont="1" applyBorder="1"/>
    <xf numFmtId="0" fontId="6" fillId="0" borderId="0" xfId="0" applyFont="1"/>
    <xf numFmtId="0" fontId="5" fillId="0" borderId="9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5" xfId="0" applyFont="1" applyBorder="1"/>
    <xf numFmtId="0" fontId="5" fillId="0" borderId="10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8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6" fillId="0" borderId="0" xfId="0" applyFont="1"/>
    <xf numFmtId="0" fontId="6" fillId="0" borderId="9" xfId="0" applyFont="1" applyBorder="1"/>
    <xf numFmtId="0" fontId="6" fillId="0" borderId="2" xfId="0" applyFont="1" applyBorder="1"/>
    <xf numFmtId="0" fontId="4" fillId="0" borderId="0" xfId="0" applyFont="1" applyAlignment="1"/>
    <xf numFmtId="0" fontId="6" fillId="0" borderId="0" xfId="0" applyFont="1" applyAlignment="1"/>
    <xf numFmtId="0" fontId="4" fillId="0" borderId="2" xfId="0" applyFont="1" applyBorder="1"/>
    <xf numFmtId="0" fontId="6" fillId="0" borderId="0" xfId="0" applyFont="1" applyAlignment="1">
      <alignment horizontal="center"/>
    </xf>
    <xf numFmtId="164" fontId="6" fillId="0" borderId="0" xfId="0" applyNumberFormat="1" applyFont="1"/>
    <xf numFmtId="10" fontId="6" fillId="0" borderId="0" xfId="1" applyNumberFormat="1" applyFont="1"/>
    <xf numFmtId="10" fontId="6" fillId="0" borderId="9" xfId="1" applyNumberFormat="1" applyFont="1" applyBorder="1"/>
    <xf numFmtId="166" fontId="6" fillId="0" borderId="0" xfId="0" applyNumberFormat="1" applyFont="1"/>
    <xf numFmtId="164" fontId="4" fillId="0" borderId="6" xfId="0" applyNumberFormat="1" applyFont="1" applyBorder="1"/>
    <xf numFmtId="9" fontId="6" fillId="0" borderId="0" xfId="1" applyFont="1"/>
    <xf numFmtId="9" fontId="6" fillId="0" borderId="9" xfId="1" applyFont="1" applyBorder="1"/>
    <xf numFmtId="166" fontId="6" fillId="0" borderId="5" xfId="0" applyNumberFormat="1" applyFont="1" applyBorder="1"/>
    <xf numFmtId="166" fontId="4" fillId="0" borderId="0" xfId="0" applyNumberFormat="1" applyFont="1" applyAlignment="1">
      <alignment horizontal="center"/>
    </xf>
    <xf numFmtId="10" fontId="6" fillId="0" borderId="0" xfId="1" applyNumberFormat="1" applyFont="1" applyAlignment="1">
      <alignment horizontal="center"/>
    </xf>
    <xf numFmtId="164" fontId="6" fillId="0" borderId="5" xfId="0" applyNumberFormat="1" applyFont="1" applyBorder="1"/>
    <xf numFmtId="166" fontId="4" fillId="0" borderId="5" xfId="0" applyNumberFormat="1" applyFont="1" applyBorder="1"/>
    <xf numFmtId="164" fontId="4" fillId="0" borderId="7" xfId="0" applyNumberFormat="1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4" fontId="6" fillId="0" borderId="0" xfId="0" applyNumberFormat="1" applyFont="1"/>
    <xf numFmtId="0" fontId="6" fillId="0" borderId="3" xfId="0" applyFont="1" applyBorder="1"/>
    <xf numFmtId="0" fontId="6" fillId="0" borderId="5" xfId="0" applyFont="1" applyBorder="1"/>
    <xf numFmtId="167" fontId="6" fillId="0" borderId="5" xfId="0" applyNumberFormat="1" applyFont="1" applyBorder="1"/>
    <xf numFmtId="168" fontId="6" fillId="0" borderId="0" xfId="0" applyNumberFormat="1" applyFont="1"/>
    <xf numFmtId="168" fontId="6" fillId="0" borderId="5" xfId="0" applyNumberFormat="1" applyFont="1" applyBorder="1"/>
    <xf numFmtId="0" fontId="6" fillId="0" borderId="14" xfId="0" applyFont="1" applyBorder="1"/>
    <xf numFmtId="0" fontId="5" fillId="0" borderId="7" xfId="0" applyFont="1" applyBorder="1"/>
    <xf numFmtId="2" fontId="6" fillId="0" borderId="0" xfId="0" applyNumberFormat="1" applyFont="1"/>
    <xf numFmtId="0" fontId="4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(Hoja1!$B$19,Hoja1!$B$29,Hoja1!$B$33)</c:f>
              <c:strCache>
                <c:ptCount val="3"/>
                <c:pt idx="0">
                  <c:v>Total de activos corrientes</c:v>
                </c:pt>
                <c:pt idx="1">
                  <c:v>Total de activos no corrientes</c:v>
                </c:pt>
                <c:pt idx="2">
                  <c:v>TOTAL DE ACTIVOS</c:v>
                </c:pt>
              </c:strCache>
            </c:strRef>
          </c:cat>
          <c:val>
            <c:numRef>
              <c:f>(Hoja1!$F$19,Hoja1!$F$29,Hoja1!$F$33)</c:f>
              <c:numCache>
                <c:formatCode>[$$]#,##0.00</c:formatCode>
                <c:ptCount val="3"/>
                <c:pt idx="0">
                  <c:v>96453</c:v>
                </c:pt>
                <c:pt idx="1">
                  <c:v>334690</c:v>
                </c:pt>
                <c:pt idx="2">
                  <c:v>431143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6-4089-B421-E694BC8B61A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(Hoja1!$B$19,Hoja1!$B$29,Hoja1!$B$33)</c:f>
              <c:strCache>
                <c:ptCount val="3"/>
                <c:pt idx="0">
                  <c:v>Total de activos corrientes</c:v>
                </c:pt>
                <c:pt idx="1">
                  <c:v>Total de activos no corrientes</c:v>
                </c:pt>
                <c:pt idx="2">
                  <c:v>TOTAL DE ACTIVOS</c:v>
                </c:pt>
              </c:strCache>
            </c:strRef>
          </c:cat>
          <c:val>
            <c:numRef>
              <c:f>(Hoja1!$G$19,Hoja1!$G$29,Hoja1!$G$33)</c:f>
              <c:numCache>
                <c:formatCode>0.00%</c:formatCode>
                <c:ptCount val="3"/>
                <c:pt idx="0">
                  <c:v>0.22371463760283711</c:v>
                </c:pt>
                <c:pt idx="1">
                  <c:v>0.77628536239716284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6-4089-B421-E694BC8B61A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(Hoja1!$B$19,Hoja1!$B$29,Hoja1!$B$33)</c:f>
              <c:strCache>
                <c:ptCount val="3"/>
                <c:pt idx="0">
                  <c:v>Total de activos corrientes</c:v>
                </c:pt>
                <c:pt idx="1">
                  <c:v>Total de activos no corrientes</c:v>
                </c:pt>
                <c:pt idx="2">
                  <c:v>TOTAL DE ACTIVOS</c:v>
                </c:pt>
              </c:strCache>
            </c:strRef>
          </c:cat>
          <c:val>
            <c:numRef>
              <c:f>(Hoja1!$H$19,Hoja1!$H$29,Hoja1!$H$33)</c:f>
              <c:numCache>
                <c:formatCode>[$$]#,##0.00</c:formatCode>
                <c:ptCount val="3"/>
                <c:pt idx="0">
                  <c:v>150819</c:v>
                </c:pt>
                <c:pt idx="1">
                  <c:v>342565</c:v>
                </c:pt>
                <c:pt idx="2">
                  <c:v>493384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06-4089-B421-E694BC8B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60328752"/>
        <c:axId val="5603316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(Hoja1!$B$19,Hoja1!$B$29,Hoja1!$B$33)</c15:sqref>
                        </c15:formulaRef>
                      </c:ext>
                    </c:extLst>
                    <c:strCache>
                      <c:ptCount val="3"/>
                      <c:pt idx="0">
                        <c:v>Total de activos corrientes</c:v>
                      </c:pt>
                      <c:pt idx="1">
                        <c:v>Total de activos no corrientes</c:v>
                      </c:pt>
                      <c:pt idx="2">
                        <c:v>TOTAL DE ACTIVOS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(Hoja1!$C$19,Hoja1!$C$29,Hoja1!$C$33)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306-4089-B421-E694BC8B61AD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(Hoja1!$B$19,Hoja1!$B$29,Hoja1!$B$33)</c15:sqref>
                        </c15:formulaRef>
                      </c:ext>
                    </c:extLst>
                    <c:strCache>
                      <c:ptCount val="3"/>
                      <c:pt idx="0">
                        <c:v>Total de activos corrientes</c:v>
                      </c:pt>
                      <c:pt idx="1">
                        <c:v>Total de activos no corrientes</c:v>
                      </c:pt>
                      <c:pt idx="2">
                        <c:v>TOTAL DE ACTIVOS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(Hoja1!$D$19,Hoja1!$D$29,Hoja1!$D$33)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306-4089-B421-E694BC8B61A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(Hoja1!$B$19,Hoja1!$B$29,Hoja1!$B$33)</c15:sqref>
                        </c15:formulaRef>
                      </c:ext>
                    </c:extLst>
                    <c:strCache>
                      <c:ptCount val="3"/>
                      <c:pt idx="0">
                        <c:v>Total de activos corrientes</c:v>
                      </c:pt>
                      <c:pt idx="1">
                        <c:v>Total de activos no corrientes</c:v>
                      </c:pt>
                      <c:pt idx="2">
                        <c:v>TOTAL DE ACTIVOS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(Hoja1!$E$19,Hoja1!$E$29,Hoja1!$E$33)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306-4089-B421-E694BC8B61A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(Hoja1!$B$19,Hoja1!$B$29,Hoja1!$B$33)</c:f>
              <c:strCache>
                <c:ptCount val="3"/>
                <c:pt idx="0">
                  <c:v>Total de activos corrientes</c:v>
                </c:pt>
                <c:pt idx="1">
                  <c:v>Total de activos no corrientes</c:v>
                </c:pt>
                <c:pt idx="2">
                  <c:v>TOTAL DE ACTIVOS</c:v>
                </c:pt>
              </c:strCache>
            </c:strRef>
          </c:cat>
          <c:val>
            <c:numRef>
              <c:f>(Hoja1!$I$19,Hoja1!$I$29,Hoja1!$I$33)</c:f>
              <c:numCache>
                <c:formatCode>0.00%</c:formatCode>
                <c:ptCount val="3"/>
                <c:pt idx="0">
                  <c:v>0.30568279473999965</c:v>
                </c:pt>
                <c:pt idx="1">
                  <c:v>0.69431720526000029</c:v>
                </c:pt>
                <c:pt idx="2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06-4089-B421-E694BC8B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337072"/>
        <c:axId val="560351632"/>
      </c:lineChart>
      <c:catAx>
        <c:axId val="5603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31664"/>
        <c:crosses val="autoZero"/>
        <c:auto val="1"/>
        <c:lblAlgn val="ctr"/>
        <c:lblOffset val="100"/>
        <c:noMultiLvlLbl val="0"/>
      </c:catAx>
      <c:valAx>
        <c:axId val="5603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28752"/>
        <c:crosses val="autoZero"/>
        <c:crossBetween val="between"/>
      </c:valAx>
      <c:valAx>
        <c:axId val="56035163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37072"/>
        <c:crosses val="max"/>
        <c:crossBetween val="between"/>
      </c:valAx>
      <c:catAx>
        <c:axId val="56033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0351632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(Hoja1!$L$22,Hoja1!$L$30,Hoja1!$L$32,Hoja1!$L$42)</c:f>
              <c:strCache>
                <c:ptCount val="4"/>
                <c:pt idx="0">
                  <c:v>Total pasivos corrientes </c:v>
                </c:pt>
                <c:pt idx="1">
                  <c:v>Total pasivos no corrientes</c:v>
                </c:pt>
                <c:pt idx="2">
                  <c:v>TOTAL PASIVOS</c:v>
                </c:pt>
                <c:pt idx="3">
                  <c:v>TOTAL PATRIMONIO</c:v>
                </c:pt>
              </c:strCache>
            </c:strRef>
          </c:cat>
          <c:val>
            <c:numRef>
              <c:f>(Hoja1!$P$22,Hoja1!$P$30,Hoja1!$P$32,Hoja1!$P$42)</c:f>
              <c:numCache>
                <c:formatCode>[$$]#,##0</c:formatCode>
                <c:ptCount val="4"/>
                <c:pt idx="0">
                  <c:v>278239</c:v>
                </c:pt>
                <c:pt idx="1">
                  <c:v>12511</c:v>
                </c:pt>
                <c:pt idx="2">
                  <c:v>290750</c:v>
                </c:pt>
                <c:pt idx="3">
                  <c:v>140393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8A-4DA5-82EE-28055F5E4C7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(Hoja1!$L$22,Hoja1!$L$30,Hoja1!$L$32,Hoja1!$L$42)</c:f>
              <c:strCache>
                <c:ptCount val="4"/>
                <c:pt idx="0">
                  <c:v>Total pasivos corrientes </c:v>
                </c:pt>
                <c:pt idx="1">
                  <c:v>Total pasivos no corrientes</c:v>
                </c:pt>
                <c:pt idx="2">
                  <c:v>TOTAL PASIVOS</c:v>
                </c:pt>
                <c:pt idx="3">
                  <c:v>TOTAL PATRIMONIO</c:v>
                </c:pt>
              </c:strCache>
            </c:strRef>
          </c:cat>
          <c:val>
            <c:numRef>
              <c:f>(Hoja1!$Q$22,Hoja1!$Q$30,Hoja1!$Q$32,Hoja1!$Q$42)</c:f>
              <c:numCache>
                <c:formatCode>0.00%</c:formatCode>
                <c:ptCount val="4"/>
                <c:pt idx="0">
                  <c:v>0.64535200617892441</c:v>
                </c:pt>
                <c:pt idx="1">
                  <c:v>2.9018214374349115E-2</c:v>
                </c:pt>
                <c:pt idx="2">
                  <c:v>0.67437022055327356</c:v>
                </c:pt>
                <c:pt idx="3">
                  <c:v>0.3256297794467265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8A-4DA5-82EE-28055F5E4C7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(Hoja1!$L$22,Hoja1!$L$30,Hoja1!$L$32,Hoja1!$L$42)</c:f>
              <c:strCache>
                <c:ptCount val="4"/>
                <c:pt idx="0">
                  <c:v>Total pasivos corrientes </c:v>
                </c:pt>
                <c:pt idx="1">
                  <c:v>Total pasivos no corrientes</c:v>
                </c:pt>
                <c:pt idx="2">
                  <c:v>TOTAL PASIVOS</c:v>
                </c:pt>
                <c:pt idx="3">
                  <c:v>TOTAL PATRIMONIO</c:v>
                </c:pt>
              </c:strCache>
            </c:strRef>
          </c:cat>
          <c:val>
            <c:numRef>
              <c:f>(Hoja1!$R$22,Hoja1!$R$30,Hoja1!$R$32,Hoja1!$R$42)</c:f>
              <c:numCache>
                <c:formatCode>[$$]#,##0.00</c:formatCode>
                <c:ptCount val="4"/>
                <c:pt idx="0" formatCode="[$$]#,##0">
                  <c:v>279275</c:v>
                </c:pt>
                <c:pt idx="1">
                  <c:v>83745</c:v>
                </c:pt>
                <c:pt idx="2" formatCode="[$$]#,##0">
                  <c:v>363020</c:v>
                </c:pt>
                <c:pt idx="3" formatCode="[$$]#,##0">
                  <c:v>130364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8A-4DA5-82EE-28055F5E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60329584"/>
        <c:axId val="560338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(Hoja1!$L$22,Hoja1!$L$30,Hoja1!$L$32,Hoja1!$L$42)</c15:sqref>
                        </c15:formulaRef>
                      </c:ext>
                    </c:extLst>
                    <c:strCache>
                      <c:ptCount val="4"/>
                      <c:pt idx="0">
                        <c:v>Total pasivos corrientes </c:v>
                      </c:pt>
                      <c:pt idx="1">
                        <c:v>Total pasivos no corrientes</c:v>
                      </c:pt>
                      <c:pt idx="2">
                        <c:v>TOTAL PASIVOS</c:v>
                      </c:pt>
                      <c:pt idx="3">
                        <c:v>TOTAL PATRIMONIO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(Hoja1!$M$22,Hoja1!$M$30,Hoja1!$M$32,Hoja1!$M$42)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08A-4DA5-82EE-28055F5E4C7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(Hoja1!$L$22,Hoja1!$L$30,Hoja1!$L$32,Hoja1!$L$42)</c15:sqref>
                        </c15:formulaRef>
                      </c:ext>
                    </c:extLst>
                    <c:strCache>
                      <c:ptCount val="4"/>
                      <c:pt idx="0">
                        <c:v>Total pasivos corrientes </c:v>
                      </c:pt>
                      <c:pt idx="1">
                        <c:v>Total pasivos no corrientes</c:v>
                      </c:pt>
                      <c:pt idx="2">
                        <c:v>TOTAL PASIVOS</c:v>
                      </c:pt>
                      <c:pt idx="3">
                        <c:v>TOTAL PATRIMONIO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(Hoja1!$N$22,Hoja1!$N$30,Hoja1!$N$32,Hoja1!$N$42)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08A-4DA5-82EE-28055F5E4C72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(Hoja1!$L$22,Hoja1!$L$30,Hoja1!$L$32,Hoja1!$L$42)</c15:sqref>
                        </c15:formulaRef>
                      </c:ext>
                    </c:extLst>
                    <c:strCache>
                      <c:ptCount val="4"/>
                      <c:pt idx="0">
                        <c:v>Total pasivos corrientes </c:v>
                      </c:pt>
                      <c:pt idx="1">
                        <c:v>Total pasivos no corrientes</c:v>
                      </c:pt>
                      <c:pt idx="2">
                        <c:v>TOTAL PASIVOS</c:v>
                      </c:pt>
                      <c:pt idx="3">
                        <c:v>TOTAL PATRIMONIO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(Hoja1!$O$22,Hoja1!$O$30,Hoja1!$O$32,Hoja1!$O$42)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08A-4DA5-82EE-28055F5E4C7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(Hoja1!$L$22,Hoja1!$L$30,Hoja1!$L$32,Hoja1!$L$42)</c:f>
              <c:strCache>
                <c:ptCount val="4"/>
                <c:pt idx="0">
                  <c:v>Total pasivos corrientes </c:v>
                </c:pt>
                <c:pt idx="1">
                  <c:v>Total pasivos no corrientes</c:v>
                </c:pt>
                <c:pt idx="2">
                  <c:v>TOTAL PASIVOS</c:v>
                </c:pt>
                <c:pt idx="3">
                  <c:v>TOTAL PATRIMONIO</c:v>
                </c:pt>
              </c:strCache>
            </c:strRef>
          </c:cat>
          <c:val>
            <c:numRef>
              <c:f>(Hoja1!$S$22,Hoja1!$S$30,Hoja1!$S$32,Hoja1!$S$42)</c:f>
              <c:numCache>
                <c:formatCode>0.00%</c:formatCode>
                <c:ptCount val="4"/>
                <c:pt idx="0">
                  <c:v>0.56603983915165468</c:v>
                </c:pt>
                <c:pt idx="1">
                  <c:v>0.16973594603797448</c:v>
                </c:pt>
                <c:pt idx="2">
                  <c:v>0.73577578518962916</c:v>
                </c:pt>
                <c:pt idx="3">
                  <c:v>0.26422421481037084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8A-4DA5-82EE-28055F5E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339984"/>
        <c:axId val="560339152"/>
      </c:lineChart>
      <c:catAx>
        <c:axId val="5603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38736"/>
        <c:crosses val="autoZero"/>
        <c:auto val="1"/>
        <c:lblAlgn val="ctr"/>
        <c:lblOffset val="100"/>
        <c:noMultiLvlLbl val="0"/>
      </c:catAx>
      <c:valAx>
        <c:axId val="5603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29584"/>
        <c:crosses val="autoZero"/>
        <c:crossBetween val="between"/>
      </c:valAx>
      <c:valAx>
        <c:axId val="5603391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60339984"/>
        <c:crosses val="max"/>
        <c:crossBetween val="between"/>
      </c:valAx>
      <c:catAx>
        <c:axId val="56033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0339152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367045</xdr:colOff>
      <xdr:row>50</xdr:row>
      <xdr:rowOff>177763</xdr:rowOff>
    </xdr:from>
    <xdr:to>
      <xdr:col>15</xdr:col>
      <xdr:colOff>357520</xdr:colOff>
      <xdr:row>65</xdr:row>
      <xdr:rowOff>34888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B42601-DDFB-4B6A-8D72-7246BE3CD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427517</xdr:colOff>
      <xdr:row>50</xdr:row>
      <xdr:rowOff>178983</xdr:rowOff>
    </xdr:from>
    <xdr:to>
      <xdr:col>21</xdr:col>
      <xdr:colOff>691116</xdr:colOff>
      <xdr:row>65</xdr:row>
      <xdr:rowOff>64683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68FCA9-3E75-4EAF-8BD5-B4AEBD345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ACE9-3791-4328-BBE4-A005CFEBD60E}">
  <dimension ref="B1:S80"/>
  <sheetViews>
    <sheetView tabSelected="1" topLeftCell="H37" zoomScale="86" zoomScaleNormal="86" workbookViewId="0">
      <selection activeCell="V49" sqref="V49"/>
    </sheetView>
  </sheetViews>
  <sheetFormatPr baseColWidth="10" defaultRowHeight="15" x14ac:dyDescent="0.25"/>
  <cols>
    <col min="5" max="5" width="11.5703125" bestFit="1" customWidth="1"/>
    <col min="6" max="6" width="15.28515625" customWidth="1"/>
    <col min="7" max="7" width="15.7109375" bestFit="1" customWidth="1"/>
    <col min="8" max="8" width="14.42578125" customWidth="1"/>
    <col min="9" max="9" width="14.28515625" customWidth="1"/>
    <col min="15" max="15" width="11.5703125" bestFit="1" customWidth="1"/>
    <col min="16" max="16" width="13" customWidth="1"/>
    <col min="17" max="17" width="15.7109375" bestFit="1" customWidth="1"/>
    <col min="18" max="18" width="12.5703125" customWidth="1"/>
    <col min="19" max="19" width="13.28515625" customWidth="1"/>
  </cols>
  <sheetData>
    <row r="1" spans="2:19" x14ac:dyDescent="0.25">
      <c r="B1" s="2" t="s">
        <v>71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5"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25">
      <c r="B5" s="3" t="s">
        <v>0</v>
      </c>
      <c r="C5" s="4"/>
      <c r="D5" s="4"/>
      <c r="E5" s="4"/>
      <c r="F5" s="4"/>
      <c r="G5" s="4"/>
      <c r="H5" s="4"/>
      <c r="I5" s="5"/>
      <c r="J5" s="1"/>
      <c r="K5" s="1"/>
      <c r="L5" s="3" t="s">
        <v>0</v>
      </c>
      <c r="M5" s="4"/>
      <c r="N5" s="4"/>
      <c r="O5" s="4"/>
      <c r="P5" s="4"/>
      <c r="Q5" s="4"/>
      <c r="R5" s="4"/>
      <c r="S5" s="5"/>
    </row>
    <row r="6" spans="2:19" x14ac:dyDescent="0.25">
      <c r="B6" s="6"/>
      <c r="C6" s="7"/>
      <c r="D6" s="7"/>
      <c r="E6" s="7"/>
      <c r="F6" s="7"/>
      <c r="G6" s="7"/>
      <c r="H6" s="7"/>
      <c r="I6" s="8"/>
      <c r="J6" s="1"/>
      <c r="K6" s="1"/>
      <c r="L6" s="6"/>
      <c r="M6" s="7"/>
      <c r="N6" s="7"/>
      <c r="O6" s="7"/>
      <c r="P6" s="7"/>
      <c r="Q6" s="7"/>
      <c r="R6" s="7"/>
      <c r="S6" s="8"/>
    </row>
    <row r="7" spans="2:19" x14ac:dyDescent="0.25">
      <c r="B7" s="9" t="s">
        <v>1</v>
      </c>
      <c r="C7" s="7"/>
      <c r="D7" s="7"/>
      <c r="E7" s="7"/>
      <c r="F7" s="7"/>
      <c r="G7" s="7"/>
      <c r="H7" s="7"/>
      <c r="I7" s="8"/>
      <c r="J7" s="1"/>
      <c r="K7" s="1"/>
      <c r="L7" s="9" t="s">
        <v>1</v>
      </c>
      <c r="M7" s="7"/>
      <c r="N7" s="7"/>
      <c r="O7" s="7"/>
      <c r="P7" s="7"/>
      <c r="Q7" s="7"/>
      <c r="R7" s="7"/>
      <c r="S7" s="8"/>
    </row>
    <row r="8" spans="2:19" x14ac:dyDescent="0.25">
      <c r="B8" s="9" t="s">
        <v>2</v>
      </c>
      <c r="C8" s="7"/>
      <c r="D8" s="7"/>
      <c r="E8" s="7"/>
      <c r="F8" s="7"/>
      <c r="G8" s="7"/>
      <c r="H8" s="7"/>
      <c r="I8" s="8"/>
      <c r="J8" s="1"/>
      <c r="K8" s="1"/>
      <c r="L8" s="9" t="s">
        <v>2</v>
      </c>
      <c r="M8" s="7"/>
      <c r="N8" s="7"/>
      <c r="O8" s="7"/>
      <c r="P8" s="7"/>
      <c r="Q8" s="7"/>
      <c r="R8" s="7"/>
      <c r="S8" s="8"/>
    </row>
    <row r="9" spans="2:19" ht="15.75" thickBot="1" x14ac:dyDescent="0.3">
      <c r="B9" s="10" t="s">
        <v>3</v>
      </c>
      <c r="C9" s="11"/>
      <c r="D9" s="11"/>
      <c r="E9" s="11"/>
      <c r="F9" s="11"/>
      <c r="G9" s="11"/>
      <c r="H9" s="11"/>
      <c r="I9" s="12"/>
      <c r="J9" s="1"/>
      <c r="K9" s="1"/>
      <c r="L9" s="6"/>
      <c r="M9" s="7"/>
      <c r="N9" s="7"/>
      <c r="O9" s="7"/>
      <c r="P9" s="7"/>
      <c r="Q9" s="7"/>
      <c r="R9" s="7"/>
      <c r="S9" s="8"/>
    </row>
    <row r="10" spans="2:19" x14ac:dyDescent="0.25">
      <c r="B10" s="13"/>
      <c r="C10" s="14"/>
      <c r="D10" s="14"/>
      <c r="E10" s="14"/>
      <c r="F10" s="15" t="s">
        <v>21</v>
      </c>
      <c r="G10" s="15"/>
      <c r="H10" s="15"/>
      <c r="I10" s="16"/>
      <c r="J10" s="1"/>
      <c r="K10" s="1"/>
      <c r="L10" s="13"/>
      <c r="M10" s="14"/>
      <c r="N10" s="14"/>
      <c r="O10" s="14"/>
      <c r="P10" s="15" t="s">
        <v>21</v>
      </c>
      <c r="Q10" s="15"/>
      <c r="R10" s="15"/>
      <c r="S10" s="16"/>
    </row>
    <row r="11" spans="2:19" x14ac:dyDescent="0.25">
      <c r="B11" s="17" t="s">
        <v>4</v>
      </c>
      <c r="C11" s="7"/>
      <c r="D11" s="7"/>
      <c r="E11" s="18" t="s">
        <v>20</v>
      </c>
      <c r="F11" s="55">
        <v>2024</v>
      </c>
      <c r="G11" s="20"/>
      <c r="H11" s="55">
        <v>2023</v>
      </c>
      <c r="I11" s="21"/>
      <c r="J11" s="1"/>
      <c r="K11" s="1"/>
      <c r="L11" s="17" t="s">
        <v>23</v>
      </c>
      <c r="M11" s="7"/>
      <c r="N11" s="7"/>
      <c r="O11" s="18" t="s">
        <v>20</v>
      </c>
      <c r="P11" s="19">
        <v>45657</v>
      </c>
      <c r="Q11" s="20"/>
      <c r="R11" s="19">
        <v>45291</v>
      </c>
      <c r="S11" s="21"/>
    </row>
    <row r="12" spans="2:19" x14ac:dyDescent="0.25">
      <c r="B12" s="22"/>
      <c r="C12" s="20"/>
      <c r="D12" s="20"/>
      <c r="E12" s="20"/>
      <c r="F12" s="23"/>
      <c r="G12" s="24"/>
      <c r="H12" s="24"/>
      <c r="I12" s="21"/>
      <c r="J12" s="1"/>
      <c r="K12" s="1"/>
      <c r="L12" s="22"/>
      <c r="M12" s="20"/>
      <c r="N12" s="20"/>
      <c r="O12" s="20"/>
      <c r="P12" s="23"/>
      <c r="Q12" s="24"/>
      <c r="R12" s="24"/>
      <c r="S12" s="21"/>
    </row>
    <row r="13" spans="2:19" x14ac:dyDescent="0.25">
      <c r="B13" s="22"/>
      <c r="C13" s="20"/>
      <c r="D13" s="20"/>
      <c r="E13" s="20"/>
      <c r="F13" s="20"/>
      <c r="G13" s="20"/>
      <c r="H13" s="20"/>
      <c r="I13" s="21"/>
      <c r="J13" s="1"/>
      <c r="K13" s="1"/>
      <c r="L13" s="25" t="s">
        <v>24</v>
      </c>
      <c r="M13" s="20"/>
      <c r="N13" s="20"/>
      <c r="O13" s="26"/>
      <c r="P13" s="20"/>
      <c r="Q13" s="20"/>
      <c r="R13" s="20"/>
      <c r="S13" s="21"/>
    </row>
    <row r="14" spans="2:19" x14ac:dyDescent="0.25">
      <c r="B14" s="9" t="s">
        <v>5</v>
      </c>
      <c r="C14" s="7"/>
      <c r="D14" s="7"/>
      <c r="E14" s="18"/>
      <c r="F14" s="20"/>
      <c r="G14" s="18" t="s">
        <v>22</v>
      </c>
      <c r="H14" s="20"/>
      <c r="I14" s="18" t="s">
        <v>22</v>
      </c>
      <c r="J14" s="1"/>
      <c r="K14" s="1"/>
      <c r="L14" s="9" t="s">
        <v>25</v>
      </c>
      <c r="M14" s="7"/>
      <c r="N14" s="7"/>
      <c r="O14" s="26"/>
      <c r="P14" s="20"/>
      <c r="Q14" s="18" t="s">
        <v>22</v>
      </c>
      <c r="R14" s="20"/>
      <c r="S14" s="18" t="s">
        <v>22</v>
      </c>
    </row>
    <row r="15" spans="2:19" x14ac:dyDescent="0.25">
      <c r="B15" s="6" t="s">
        <v>6</v>
      </c>
      <c r="C15" s="7"/>
      <c r="D15" s="7"/>
      <c r="E15" s="26">
        <v>8</v>
      </c>
      <c r="F15" s="27">
        <v>3428</v>
      </c>
      <c r="G15" s="28">
        <f>F15/$F$33</f>
        <v>7.9509582667467646E-3</v>
      </c>
      <c r="H15" s="27">
        <v>1374</v>
      </c>
      <c r="I15" s="29">
        <f>H15/$H$33</f>
        <v>2.7848491236035218E-3</v>
      </c>
      <c r="J15" s="1"/>
      <c r="K15" s="1"/>
      <c r="L15" s="6" t="s">
        <v>26</v>
      </c>
      <c r="M15" s="7"/>
      <c r="N15" s="20"/>
      <c r="O15" s="26">
        <v>13</v>
      </c>
      <c r="P15" s="30">
        <v>105902</v>
      </c>
      <c r="Q15" s="28">
        <f>P15/$F$33</f>
        <v>0.24563079998979456</v>
      </c>
      <c r="R15" s="30">
        <v>130661</v>
      </c>
      <c r="S15" s="29">
        <f>R15/$H$33</f>
        <v>0.26482618001394453</v>
      </c>
    </row>
    <row r="16" spans="2:19" x14ac:dyDescent="0.25">
      <c r="B16" s="6" t="s">
        <v>7</v>
      </c>
      <c r="C16" s="7"/>
      <c r="D16" s="7"/>
      <c r="E16" s="26">
        <v>15</v>
      </c>
      <c r="F16" s="27">
        <v>64430</v>
      </c>
      <c r="G16" s="28">
        <f t="shared" ref="G16:G33" si="0">F16/$F$33</f>
        <v>0.14943997699139264</v>
      </c>
      <c r="H16" s="27">
        <v>109507</v>
      </c>
      <c r="I16" s="29">
        <f t="shared" ref="I16:I33" si="1">H16/$H$33</f>
        <v>0.2219508536961069</v>
      </c>
      <c r="J16" s="1"/>
      <c r="K16" s="1"/>
      <c r="L16" s="6" t="s">
        <v>27</v>
      </c>
      <c r="M16" s="7"/>
      <c r="N16" s="20"/>
      <c r="O16" s="26"/>
      <c r="P16" s="30"/>
      <c r="Q16" s="28"/>
      <c r="R16" s="30"/>
      <c r="S16" s="29"/>
    </row>
    <row r="17" spans="2:19" x14ac:dyDescent="0.25">
      <c r="B17" s="6" t="s">
        <v>8</v>
      </c>
      <c r="C17" s="7"/>
      <c r="D17" s="7"/>
      <c r="E17" s="26"/>
      <c r="F17" s="27">
        <v>1196</v>
      </c>
      <c r="G17" s="28">
        <f t="shared" si="0"/>
        <v>2.7740216123188824E-3</v>
      </c>
      <c r="H17" s="27">
        <v>1675</v>
      </c>
      <c r="I17" s="29">
        <f t="shared" si="1"/>
        <v>3.3949216026462146E-3</v>
      </c>
      <c r="J17" s="1"/>
      <c r="K17" s="1"/>
      <c r="L17" s="22" t="s">
        <v>28</v>
      </c>
      <c r="M17" s="20"/>
      <c r="N17" s="20"/>
      <c r="O17" s="26">
        <v>14</v>
      </c>
      <c r="P17" s="30">
        <v>3792</v>
      </c>
      <c r="Q17" s="28">
        <f>P17/$F$33</f>
        <v>8.7952257139742498E-3</v>
      </c>
      <c r="R17" s="30">
        <v>63675</v>
      </c>
      <c r="S17" s="29">
        <f>R17/$H$33</f>
        <v>0.12905769137223744</v>
      </c>
    </row>
    <row r="18" spans="2:19" x14ac:dyDescent="0.25">
      <c r="B18" s="6" t="s">
        <v>9</v>
      </c>
      <c r="C18" s="7"/>
      <c r="D18" s="7"/>
      <c r="E18" s="26">
        <v>5</v>
      </c>
      <c r="F18" s="27">
        <v>27399</v>
      </c>
      <c r="G18" s="28">
        <f t="shared" si="0"/>
        <v>6.3549680732378822E-2</v>
      </c>
      <c r="H18" s="27">
        <v>38263</v>
      </c>
      <c r="I18" s="29">
        <f t="shared" si="1"/>
        <v>7.7552170317643054E-2</v>
      </c>
      <c r="J18" s="1"/>
      <c r="K18" s="1"/>
      <c r="L18" s="22" t="s">
        <v>29</v>
      </c>
      <c r="M18" s="20"/>
      <c r="N18" s="20"/>
      <c r="O18" s="26">
        <v>15</v>
      </c>
      <c r="P18" s="30">
        <v>73793</v>
      </c>
      <c r="Q18" s="28">
        <f>P18/$F$33</f>
        <v>0.17115666959686229</v>
      </c>
      <c r="R18" s="30">
        <v>236</v>
      </c>
      <c r="S18" s="29">
        <f>R18/$H$33</f>
        <v>4.7832925267134727E-4</v>
      </c>
    </row>
    <row r="19" spans="2:19" x14ac:dyDescent="0.25">
      <c r="B19" s="9" t="s">
        <v>10</v>
      </c>
      <c r="C19" s="7"/>
      <c r="D19" s="7"/>
      <c r="E19" s="26"/>
      <c r="F19" s="31">
        <f>SUM(F15:F18)</f>
        <v>96453</v>
      </c>
      <c r="G19" s="28">
        <f t="shared" si="0"/>
        <v>0.22371463760283711</v>
      </c>
      <c r="H19" s="31">
        <f>SUM(H15:H18)</f>
        <v>150819</v>
      </c>
      <c r="I19" s="29">
        <f t="shared" si="1"/>
        <v>0.30568279473999965</v>
      </c>
      <c r="J19" s="1"/>
      <c r="K19" s="1"/>
      <c r="L19" s="22" t="s">
        <v>30</v>
      </c>
      <c r="M19" s="20"/>
      <c r="N19" s="20"/>
      <c r="O19" s="26">
        <v>15</v>
      </c>
      <c r="P19" s="30">
        <v>248</v>
      </c>
      <c r="Q19" s="28">
        <f>P19/$F$33</f>
        <v>5.7521518382532011E-4</v>
      </c>
      <c r="R19" s="30">
        <v>4921</v>
      </c>
      <c r="S19" s="29">
        <f>R19/$H$33</f>
        <v>9.9739756457444904E-3</v>
      </c>
    </row>
    <row r="20" spans="2:19" x14ac:dyDescent="0.25">
      <c r="B20" s="22"/>
      <c r="C20" s="20"/>
      <c r="D20" s="20"/>
      <c r="E20" s="20"/>
      <c r="F20" s="27"/>
      <c r="G20" s="32"/>
      <c r="H20" s="27"/>
      <c r="I20" s="33"/>
      <c r="J20" s="1"/>
      <c r="K20" s="1"/>
      <c r="L20" s="22" t="s">
        <v>31</v>
      </c>
      <c r="M20" s="20"/>
      <c r="N20" s="20"/>
      <c r="O20" s="26">
        <v>15</v>
      </c>
      <c r="P20" s="30">
        <v>27311</v>
      </c>
      <c r="Q20" s="28">
        <f>P20/$F$33</f>
        <v>6.3345572118763377E-2</v>
      </c>
      <c r="R20" s="30">
        <v>65996</v>
      </c>
      <c r="S20" s="29">
        <f>R20/$H$33</f>
        <v>0.1337619379631281</v>
      </c>
    </row>
    <row r="21" spans="2:19" ht="15.75" thickBot="1" x14ac:dyDescent="0.3">
      <c r="B21" s="22"/>
      <c r="C21" s="20"/>
      <c r="D21" s="20"/>
      <c r="E21" s="20"/>
      <c r="F21" s="27"/>
      <c r="G21" s="32"/>
      <c r="H21" s="27"/>
      <c r="I21" s="33"/>
      <c r="J21" s="1"/>
      <c r="K21" s="1"/>
      <c r="L21" s="22" t="s">
        <v>32</v>
      </c>
      <c r="M21" s="20"/>
      <c r="N21" s="20"/>
      <c r="O21" s="26">
        <v>17</v>
      </c>
      <c r="P21" s="34">
        <v>67193</v>
      </c>
      <c r="Q21" s="28">
        <f>P21/$F$33</f>
        <v>0.15584852357570458</v>
      </c>
      <c r="R21" s="34">
        <v>13786</v>
      </c>
      <c r="S21" s="29">
        <f>R21/$H$33</f>
        <v>2.7941724903928787E-2</v>
      </c>
    </row>
    <row r="22" spans="2:19" ht="15.75" thickBot="1" x14ac:dyDescent="0.3">
      <c r="B22" s="9" t="s">
        <v>11</v>
      </c>
      <c r="C22" s="7"/>
      <c r="D22" s="7"/>
      <c r="E22" s="20"/>
      <c r="F22" s="27"/>
      <c r="G22" s="32"/>
      <c r="H22" s="27"/>
      <c r="I22" s="33"/>
      <c r="J22" s="1"/>
      <c r="K22" s="1"/>
      <c r="L22" s="25" t="s">
        <v>33</v>
      </c>
      <c r="M22" s="18"/>
      <c r="N22" s="20"/>
      <c r="O22" s="26"/>
      <c r="P22" s="34">
        <f>SUM(P15:P21)</f>
        <v>278239</v>
      </c>
      <c r="Q22" s="28">
        <f>P22/$F$33</f>
        <v>0.64535200617892441</v>
      </c>
      <c r="R22" s="34">
        <f>SUM(R15:R21)</f>
        <v>279275</v>
      </c>
      <c r="S22" s="29">
        <f>R22/$H$33</f>
        <v>0.56603983915165468</v>
      </c>
    </row>
    <row r="23" spans="2:19" x14ac:dyDescent="0.25">
      <c r="B23" s="6" t="s">
        <v>12</v>
      </c>
      <c r="C23" s="7"/>
      <c r="D23" s="7"/>
      <c r="E23" s="26">
        <v>12</v>
      </c>
      <c r="F23" s="27">
        <v>218402</v>
      </c>
      <c r="G23" s="28">
        <f t="shared" si="0"/>
        <v>0.50656510716861924</v>
      </c>
      <c r="H23" s="27">
        <v>229371</v>
      </c>
      <c r="I23" s="29">
        <f t="shared" si="1"/>
        <v>0.46489347040033724</v>
      </c>
      <c r="J23" s="1"/>
      <c r="K23" s="1"/>
      <c r="L23" s="22"/>
      <c r="M23" s="20"/>
      <c r="N23" s="20"/>
      <c r="O23" s="26"/>
      <c r="P23" s="20"/>
      <c r="Q23" s="28"/>
      <c r="R23" s="20"/>
      <c r="S23" s="29"/>
    </row>
    <row r="24" spans="2:19" x14ac:dyDescent="0.25">
      <c r="B24" s="6" t="s">
        <v>13</v>
      </c>
      <c r="C24" s="7"/>
      <c r="D24" s="7"/>
      <c r="E24" s="26">
        <v>10</v>
      </c>
      <c r="F24" s="27">
        <v>108905</v>
      </c>
      <c r="G24" s="28">
        <f t="shared" si="0"/>
        <v>0.25259600642942132</v>
      </c>
      <c r="H24" s="27">
        <v>107905</v>
      </c>
      <c r="I24" s="29">
        <f t="shared" si="1"/>
        <v>0.21870388987077002</v>
      </c>
      <c r="J24" s="1"/>
      <c r="K24" s="1"/>
      <c r="L24" s="22"/>
      <c r="M24" s="20"/>
      <c r="N24" s="20"/>
      <c r="O24" s="26"/>
      <c r="P24" s="20"/>
      <c r="Q24" s="28"/>
      <c r="R24" s="20"/>
      <c r="S24" s="29"/>
    </row>
    <row r="25" spans="2:19" x14ac:dyDescent="0.25">
      <c r="B25" s="6" t="s">
        <v>14</v>
      </c>
      <c r="C25" s="7"/>
      <c r="D25" s="7"/>
      <c r="E25" s="26">
        <v>11</v>
      </c>
      <c r="F25" s="27">
        <v>2181</v>
      </c>
      <c r="G25" s="28">
        <f t="shared" si="0"/>
        <v>5.0586464351734806E-3</v>
      </c>
      <c r="H25" s="27">
        <v>1702</v>
      </c>
      <c r="I25" s="29">
        <f t="shared" si="1"/>
        <v>3.4496457120620043E-3</v>
      </c>
      <c r="J25" s="1"/>
      <c r="K25" s="1"/>
      <c r="L25" s="25" t="s">
        <v>34</v>
      </c>
      <c r="M25" s="18"/>
      <c r="N25" s="20"/>
      <c r="O25" s="26"/>
      <c r="P25" s="20"/>
      <c r="Q25" s="28"/>
      <c r="R25" s="20"/>
      <c r="S25" s="29"/>
    </row>
    <row r="26" spans="2:19" x14ac:dyDescent="0.25">
      <c r="B26" s="6" t="s">
        <v>15</v>
      </c>
      <c r="C26" s="7"/>
      <c r="D26" s="7"/>
      <c r="E26" s="26"/>
      <c r="F26" s="27">
        <v>399</v>
      </c>
      <c r="G26" s="28">
        <f t="shared" si="0"/>
        <v>9.2544700946089813E-4</v>
      </c>
      <c r="H26" s="27">
        <v>306</v>
      </c>
      <c r="I26" s="29">
        <f t="shared" si="1"/>
        <v>6.2020657337895032E-4</v>
      </c>
      <c r="J26" s="1"/>
      <c r="K26" s="1"/>
      <c r="L26" s="22" t="s">
        <v>35</v>
      </c>
      <c r="M26" s="20"/>
      <c r="N26" s="20"/>
      <c r="O26" s="26">
        <v>15</v>
      </c>
      <c r="P26" s="35" t="s">
        <v>36</v>
      </c>
      <c r="Q26" s="36" t="s">
        <v>36</v>
      </c>
      <c r="R26" s="27">
        <v>75000</v>
      </c>
      <c r="S26" s="29">
        <f>R26/$H$33</f>
        <v>0.15201141504386037</v>
      </c>
    </row>
    <row r="27" spans="2:19" x14ac:dyDescent="0.25">
      <c r="B27" s="6" t="s">
        <v>16</v>
      </c>
      <c r="C27" s="7"/>
      <c r="D27" s="7"/>
      <c r="E27" s="26"/>
      <c r="F27" s="27">
        <v>404</v>
      </c>
      <c r="G27" s="28">
        <f t="shared" si="0"/>
        <v>9.3704408977995696E-4</v>
      </c>
      <c r="H27" s="27">
        <v>297</v>
      </c>
      <c r="I27" s="29">
        <f t="shared" si="1"/>
        <v>6.0196520357368697E-4</v>
      </c>
      <c r="J27" s="1"/>
      <c r="K27" s="1"/>
      <c r="L27" s="22" t="s">
        <v>37</v>
      </c>
      <c r="M27" s="20"/>
      <c r="N27" s="20"/>
      <c r="O27" s="26"/>
      <c r="P27" s="30">
        <v>180</v>
      </c>
      <c r="Q27" s="28">
        <f>P27/$F$33</f>
        <v>4.1749489148611943E-4</v>
      </c>
      <c r="R27" s="27">
        <v>96</v>
      </c>
      <c r="S27" s="29">
        <f>R27/$H$33</f>
        <v>1.9457461125614125E-4</v>
      </c>
    </row>
    <row r="28" spans="2:19" x14ac:dyDescent="0.25">
      <c r="B28" s="6" t="s">
        <v>17</v>
      </c>
      <c r="C28" s="7"/>
      <c r="D28" s="7"/>
      <c r="E28" s="26">
        <v>18</v>
      </c>
      <c r="F28" s="27">
        <v>4399</v>
      </c>
      <c r="G28" s="28">
        <f t="shared" si="0"/>
        <v>1.0203111264707998E-2</v>
      </c>
      <c r="H28" s="27">
        <v>2984</v>
      </c>
      <c r="I28" s="29">
        <f t="shared" si="1"/>
        <v>6.0480274998783905E-3</v>
      </c>
      <c r="J28" s="1"/>
      <c r="K28" s="1"/>
      <c r="L28" s="22" t="s">
        <v>38</v>
      </c>
      <c r="M28" s="20"/>
      <c r="N28" s="20"/>
      <c r="O28" s="26">
        <v>18</v>
      </c>
      <c r="P28" s="30">
        <v>4881</v>
      </c>
      <c r="Q28" s="28">
        <f>P28/$F$33</f>
        <v>1.1321069807465273E-2</v>
      </c>
      <c r="R28" s="27">
        <v>5287</v>
      </c>
      <c r="S28" s="29">
        <f>R28/$H$33</f>
        <v>1.071579135115853E-2</v>
      </c>
    </row>
    <row r="29" spans="2:19" ht="15.75" thickBot="1" x14ac:dyDescent="0.3">
      <c r="B29" s="9" t="s">
        <v>18</v>
      </c>
      <c r="C29" s="7"/>
      <c r="D29" s="7"/>
      <c r="E29" s="20"/>
      <c r="F29" s="31">
        <f>SUM(F23:F28)</f>
        <v>334690</v>
      </c>
      <c r="G29" s="28">
        <f t="shared" si="0"/>
        <v>0.77628536239716284</v>
      </c>
      <c r="H29" s="31">
        <f>SUM(H23:H28)</f>
        <v>342565</v>
      </c>
      <c r="I29" s="29">
        <f t="shared" si="1"/>
        <v>0.69431720526000029</v>
      </c>
      <c r="J29" s="1"/>
      <c r="K29" s="1"/>
      <c r="L29" s="22" t="s">
        <v>32</v>
      </c>
      <c r="M29" s="20"/>
      <c r="N29" s="20"/>
      <c r="O29" s="26">
        <v>17</v>
      </c>
      <c r="P29" s="34">
        <v>7450</v>
      </c>
      <c r="Q29" s="28">
        <f>P29/$F$33</f>
        <v>1.7279649675397721E-2</v>
      </c>
      <c r="R29" s="37">
        <v>3362</v>
      </c>
      <c r="S29" s="29">
        <f>R29/$H$33</f>
        <v>6.8141650316994474E-3</v>
      </c>
    </row>
    <row r="30" spans="2:19" ht="15.75" thickBot="1" x14ac:dyDescent="0.3">
      <c r="B30" s="22"/>
      <c r="C30" s="20"/>
      <c r="D30" s="20"/>
      <c r="E30" s="20"/>
      <c r="F30" s="27"/>
      <c r="G30" s="32"/>
      <c r="H30" s="27"/>
      <c r="I30" s="33"/>
      <c r="J30" s="1"/>
      <c r="K30" s="1"/>
      <c r="L30" s="25" t="s">
        <v>39</v>
      </c>
      <c r="M30" s="18"/>
      <c r="N30" s="20"/>
      <c r="O30" s="26"/>
      <c r="P30" s="34">
        <f>SUM(P26:P29)</f>
        <v>12511</v>
      </c>
      <c r="Q30" s="28">
        <f>P30/$F$33</f>
        <v>2.9018214374349115E-2</v>
      </c>
      <c r="R30" s="37">
        <f>SUM(R26:R29)</f>
        <v>83745</v>
      </c>
      <c r="S30" s="29">
        <f>R30/$H$33</f>
        <v>0.16973594603797448</v>
      </c>
    </row>
    <row r="31" spans="2:19" x14ac:dyDescent="0.25">
      <c r="B31" s="22"/>
      <c r="C31" s="20"/>
      <c r="D31" s="20"/>
      <c r="E31" s="20"/>
      <c r="F31" s="27"/>
      <c r="G31" s="32"/>
      <c r="H31" s="27"/>
      <c r="I31" s="33"/>
      <c r="J31" s="1"/>
      <c r="K31" s="1"/>
      <c r="L31" s="22"/>
      <c r="M31" s="20"/>
      <c r="N31" s="20"/>
      <c r="O31" s="26"/>
      <c r="P31" s="20"/>
      <c r="Q31" s="28"/>
      <c r="R31" s="20"/>
      <c r="S31" s="29"/>
    </row>
    <row r="32" spans="2:19" ht="15.75" thickBot="1" x14ac:dyDescent="0.3">
      <c r="B32" s="22"/>
      <c r="C32" s="20"/>
      <c r="D32" s="20"/>
      <c r="E32" s="20"/>
      <c r="F32" s="27"/>
      <c r="G32" s="32"/>
      <c r="H32" s="27"/>
      <c r="I32" s="33"/>
      <c r="J32" s="1"/>
      <c r="K32" s="1"/>
      <c r="L32" s="25" t="s">
        <v>40</v>
      </c>
      <c r="M32" s="18"/>
      <c r="N32" s="20"/>
      <c r="O32" s="26"/>
      <c r="P32" s="38">
        <f>P22+P30</f>
        <v>290750</v>
      </c>
      <c r="Q32" s="28">
        <f>P32/$F$33</f>
        <v>0.67437022055327356</v>
      </c>
      <c r="R32" s="38">
        <f>R22+R30</f>
        <v>363020</v>
      </c>
      <c r="S32" s="29">
        <f>R32/$H$33</f>
        <v>0.73577578518962916</v>
      </c>
    </row>
    <row r="33" spans="2:19" x14ac:dyDescent="0.25">
      <c r="B33" s="9" t="s">
        <v>19</v>
      </c>
      <c r="C33" s="7"/>
      <c r="D33" s="7"/>
      <c r="E33" s="20"/>
      <c r="F33" s="39">
        <f>F19+F29</f>
        <v>431143</v>
      </c>
      <c r="G33" s="32">
        <f t="shared" si="0"/>
        <v>1</v>
      </c>
      <c r="H33" s="39">
        <f>H19+H29</f>
        <v>493384</v>
      </c>
      <c r="I33" s="33">
        <f t="shared" si="1"/>
        <v>1</v>
      </c>
      <c r="J33" s="1"/>
      <c r="K33" s="1"/>
      <c r="L33" s="22"/>
      <c r="M33" s="20"/>
      <c r="N33" s="20"/>
      <c r="O33" s="26"/>
      <c r="P33" s="20"/>
      <c r="Q33" s="28"/>
      <c r="R33" s="20"/>
      <c r="S33" s="29"/>
    </row>
    <row r="34" spans="2:19" x14ac:dyDescent="0.25">
      <c r="B34" s="40"/>
      <c r="C34" s="41"/>
      <c r="D34" s="41"/>
      <c r="E34" s="41"/>
      <c r="F34" s="41"/>
      <c r="G34" s="41"/>
      <c r="H34" s="41"/>
      <c r="I34" s="42"/>
      <c r="J34" s="1"/>
      <c r="K34" s="1"/>
      <c r="L34" s="22"/>
      <c r="M34" s="20"/>
      <c r="N34" s="20"/>
      <c r="O34" s="26"/>
      <c r="P34" s="20"/>
      <c r="Q34" s="28"/>
      <c r="R34" s="20"/>
      <c r="S34" s="29"/>
    </row>
    <row r="35" spans="2:19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5" t="s">
        <v>41</v>
      </c>
      <c r="M35" s="20"/>
      <c r="N35" s="20"/>
      <c r="O35" s="26"/>
      <c r="P35" s="20"/>
      <c r="Q35" s="28"/>
      <c r="R35" s="20"/>
      <c r="S35" s="29"/>
    </row>
    <row r="36" spans="2:19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2" t="s">
        <v>42</v>
      </c>
      <c r="M36" s="20"/>
      <c r="N36" s="20"/>
      <c r="O36" s="26">
        <v>19</v>
      </c>
      <c r="P36" s="30">
        <v>23419</v>
      </c>
      <c r="Q36" s="28">
        <f>P36/$F$33</f>
        <v>5.4318404798407952E-2</v>
      </c>
      <c r="R36" s="30">
        <v>25030</v>
      </c>
      <c r="S36" s="29">
        <f>R36/$H$33</f>
        <v>5.0731276247304329E-2</v>
      </c>
    </row>
    <row r="37" spans="2:1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2" t="s">
        <v>43</v>
      </c>
      <c r="M37" s="20"/>
      <c r="N37" s="20"/>
      <c r="O37" s="26"/>
      <c r="P37" s="30">
        <v>10245</v>
      </c>
      <c r="Q37" s="28">
        <f>P37/$F$33</f>
        <v>2.3762417573751634E-2</v>
      </c>
      <c r="R37" s="30">
        <v>10245</v>
      </c>
      <c r="S37" s="29">
        <f>R37/$H$33</f>
        <v>2.0764759294991324E-2</v>
      </c>
    </row>
    <row r="38" spans="2:19" ht="15.75" thickBo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22" t="s">
        <v>44</v>
      </c>
      <c r="M38" s="20"/>
      <c r="N38" s="20"/>
      <c r="O38" s="26"/>
      <c r="P38" s="30">
        <v>5901</v>
      </c>
      <c r="Q38" s="28">
        <f>P38/$F$33</f>
        <v>1.3686874192553282E-2</v>
      </c>
      <c r="R38" s="30">
        <v>2228</v>
      </c>
      <c r="S38" s="29">
        <f>R38/$H$33</f>
        <v>4.5157524362362785E-3</v>
      </c>
    </row>
    <row r="39" spans="2:19" ht="15.75" thickBot="1" x14ac:dyDescent="0.3">
      <c r="B39" s="3" t="s">
        <v>0</v>
      </c>
      <c r="C39" s="4"/>
      <c r="D39" s="4"/>
      <c r="E39" s="4"/>
      <c r="F39" s="4"/>
      <c r="G39" s="4"/>
      <c r="H39" s="4"/>
      <c r="I39" s="5"/>
      <c r="J39" s="1"/>
      <c r="K39" s="1"/>
      <c r="L39" s="22" t="s">
        <v>45</v>
      </c>
      <c r="M39" s="20"/>
      <c r="N39" s="20"/>
      <c r="O39" s="26"/>
      <c r="P39" s="38">
        <v>100828</v>
      </c>
      <c r="Q39" s="28">
        <f>P39/$F$33</f>
        <v>0.23386208288201363</v>
      </c>
      <c r="R39" s="38">
        <v>92861</v>
      </c>
      <c r="S39" s="29">
        <f>R39/$H$33</f>
        <v>0.18821242683183889</v>
      </c>
    </row>
    <row r="40" spans="2:19" x14ac:dyDescent="0.25">
      <c r="B40" s="6"/>
      <c r="C40" s="7"/>
      <c r="D40" s="7"/>
      <c r="E40" s="7"/>
      <c r="F40" s="7"/>
      <c r="G40" s="7"/>
      <c r="H40" s="7"/>
      <c r="I40" s="8"/>
      <c r="J40" s="1"/>
      <c r="K40" s="1"/>
      <c r="L40" s="22"/>
      <c r="M40" s="20"/>
      <c r="N40" s="20"/>
      <c r="O40" s="26"/>
      <c r="P40" s="30"/>
      <c r="Q40" s="28"/>
      <c r="R40" s="30"/>
      <c r="S40" s="29"/>
    </row>
    <row r="41" spans="2:19" x14ac:dyDescent="0.25">
      <c r="B41" s="9" t="s">
        <v>49</v>
      </c>
      <c r="C41" s="7"/>
      <c r="D41" s="7"/>
      <c r="E41" s="7"/>
      <c r="F41" s="7"/>
      <c r="G41" s="7"/>
      <c r="H41" s="7"/>
      <c r="I41" s="8"/>
      <c r="J41" s="1"/>
      <c r="K41" s="1"/>
      <c r="L41" s="22"/>
      <c r="M41" s="20"/>
      <c r="N41" s="20"/>
      <c r="O41" s="26"/>
      <c r="P41" s="30"/>
      <c r="Q41" s="28"/>
      <c r="R41" s="30"/>
      <c r="S41" s="29"/>
    </row>
    <row r="42" spans="2:19" ht="15.75" thickBot="1" x14ac:dyDescent="0.3">
      <c r="B42" s="9" t="s">
        <v>50</v>
      </c>
      <c r="C42" s="7"/>
      <c r="D42" s="7"/>
      <c r="E42" s="7"/>
      <c r="F42" s="7"/>
      <c r="G42" s="7"/>
      <c r="H42" s="7"/>
      <c r="I42" s="8"/>
      <c r="J42" s="1"/>
      <c r="K42" s="1"/>
      <c r="L42" s="25" t="s">
        <v>46</v>
      </c>
      <c r="M42" s="18"/>
      <c r="N42" s="20"/>
      <c r="O42" s="26"/>
      <c r="P42" s="38">
        <f>SUM(P36:P39)</f>
        <v>140393</v>
      </c>
      <c r="Q42" s="28">
        <f>P42/$F$33</f>
        <v>0.3256297794467265</v>
      </c>
      <c r="R42" s="38">
        <f>SUM(R36:R39)</f>
        <v>130364</v>
      </c>
      <c r="S42" s="29">
        <f>R42/$H$33</f>
        <v>0.26422421481037084</v>
      </c>
    </row>
    <row r="43" spans="2:19" ht="15.75" thickBot="1" x14ac:dyDescent="0.3">
      <c r="B43" s="43"/>
      <c r="C43" s="11"/>
      <c r="D43" s="11"/>
      <c r="E43" s="11"/>
      <c r="F43" s="11"/>
      <c r="G43" s="11"/>
      <c r="H43" s="11"/>
      <c r="I43" s="12"/>
      <c r="J43" s="1"/>
      <c r="K43" s="1"/>
      <c r="L43" s="25"/>
      <c r="M43" s="18"/>
      <c r="N43" s="20"/>
      <c r="O43" s="26"/>
      <c r="P43" s="20"/>
      <c r="Q43" s="28"/>
      <c r="R43" s="20"/>
      <c r="S43" s="29"/>
    </row>
    <row r="44" spans="2:19" ht="15.75" thickBot="1" x14ac:dyDescent="0.3">
      <c r="B44" s="13"/>
      <c r="C44" s="14"/>
      <c r="D44" s="14"/>
      <c r="E44" s="14"/>
      <c r="F44" s="15" t="s">
        <v>21</v>
      </c>
      <c r="G44" s="15"/>
      <c r="H44" s="15"/>
      <c r="I44" s="16"/>
      <c r="J44" s="1"/>
      <c r="K44" s="1"/>
      <c r="L44" s="25" t="s">
        <v>47</v>
      </c>
      <c r="M44" s="18"/>
      <c r="N44" s="20"/>
      <c r="O44" s="26"/>
      <c r="P44" s="38">
        <f>P32+P42</f>
        <v>431143</v>
      </c>
      <c r="Q44" s="28">
        <f>P44/$F$33</f>
        <v>1</v>
      </c>
      <c r="R44" s="38">
        <f>R32+R42</f>
        <v>493384</v>
      </c>
      <c r="S44" s="29">
        <f>R44/$H$33</f>
        <v>1</v>
      </c>
    </row>
    <row r="45" spans="2:19" x14ac:dyDescent="0.25">
      <c r="B45" s="44"/>
      <c r="C45" s="45"/>
      <c r="D45" s="45"/>
      <c r="E45" s="18" t="s">
        <v>20</v>
      </c>
      <c r="F45" s="19">
        <v>45657</v>
      </c>
      <c r="G45" s="20"/>
      <c r="H45" s="19">
        <v>45291</v>
      </c>
      <c r="I45" s="21"/>
      <c r="J45" s="1"/>
      <c r="K45" s="1"/>
      <c r="L45" s="22"/>
      <c r="M45" s="20"/>
      <c r="N45" s="20"/>
      <c r="O45" s="20"/>
      <c r="P45" s="20"/>
      <c r="Q45" s="20"/>
      <c r="R45" s="20"/>
      <c r="S45" s="21"/>
    </row>
    <row r="46" spans="2:19" x14ac:dyDescent="0.25">
      <c r="B46" s="22"/>
      <c r="C46" s="20"/>
      <c r="D46" s="20"/>
      <c r="E46" s="20"/>
      <c r="F46" s="23"/>
      <c r="G46" s="24"/>
      <c r="H46" s="24"/>
      <c r="I46" s="21"/>
      <c r="J46" s="1"/>
      <c r="K46" s="1"/>
      <c r="L46" s="22"/>
      <c r="M46" s="20"/>
      <c r="N46" s="20"/>
      <c r="O46" s="20"/>
      <c r="P46" s="20"/>
      <c r="Q46" s="20"/>
      <c r="R46" s="20"/>
      <c r="S46" s="21"/>
    </row>
    <row r="47" spans="2:19" x14ac:dyDescent="0.25">
      <c r="B47" s="22"/>
      <c r="C47" s="20"/>
      <c r="D47" s="20"/>
      <c r="E47" s="20"/>
      <c r="F47" s="46"/>
      <c r="G47" s="18" t="s">
        <v>22</v>
      </c>
      <c r="H47" s="46"/>
      <c r="I47" s="18" t="s">
        <v>22</v>
      </c>
      <c r="J47" s="1"/>
      <c r="K47" s="1"/>
      <c r="L47" s="22"/>
      <c r="M47" s="20"/>
      <c r="N47" s="20"/>
      <c r="O47" s="20"/>
      <c r="P47" s="20"/>
      <c r="Q47" s="20"/>
      <c r="R47" s="20"/>
      <c r="S47" s="21"/>
    </row>
    <row r="48" spans="2:19" ht="15.75" thickBot="1" x14ac:dyDescent="0.3">
      <c r="B48" s="22" t="s">
        <v>51</v>
      </c>
      <c r="C48" s="20"/>
      <c r="D48" s="20"/>
      <c r="E48" s="26">
        <v>20</v>
      </c>
      <c r="F48" s="30">
        <v>384240</v>
      </c>
      <c r="G48" s="28">
        <f>F48/$F$48</f>
        <v>1</v>
      </c>
      <c r="H48" s="30">
        <v>386090</v>
      </c>
      <c r="I48" s="29">
        <f>H48/$H$48</f>
        <v>1</v>
      </c>
      <c r="J48" s="1"/>
      <c r="K48" s="1"/>
      <c r="L48" s="47" t="s">
        <v>48</v>
      </c>
      <c r="M48" s="48"/>
      <c r="N48" s="48"/>
      <c r="O48" s="48"/>
      <c r="P48" s="48"/>
      <c r="Q48" s="48"/>
      <c r="R48" s="48"/>
      <c r="S48" s="21"/>
    </row>
    <row r="49" spans="2:19" x14ac:dyDescent="0.25">
      <c r="B49" s="22"/>
      <c r="C49" s="20"/>
      <c r="D49" s="20"/>
      <c r="E49" s="26"/>
      <c r="F49" s="30"/>
      <c r="G49" s="28"/>
      <c r="H49" s="30"/>
      <c r="I49" s="29"/>
      <c r="J49" s="1"/>
      <c r="K49" s="1"/>
      <c r="L49" s="13"/>
      <c r="M49" s="14"/>
      <c r="N49" s="14"/>
      <c r="O49" s="14"/>
      <c r="P49" s="14"/>
      <c r="Q49" s="14"/>
      <c r="R49" s="14"/>
      <c r="S49" s="16"/>
    </row>
    <row r="50" spans="2:19" ht="15.75" thickBot="1" x14ac:dyDescent="0.3">
      <c r="B50" s="22" t="s">
        <v>52</v>
      </c>
      <c r="C50" s="20"/>
      <c r="D50" s="20"/>
      <c r="E50" s="26">
        <v>21</v>
      </c>
      <c r="F50" s="49">
        <v>-222269</v>
      </c>
      <c r="G50" s="28">
        <f>F50/$F$48</f>
        <v>-0.57846398084530504</v>
      </c>
      <c r="H50" s="49">
        <v>-227099</v>
      </c>
      <c r="I50" s="29">
        <f>H50/$H$48</f>
        <v>-0.588202232640058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5">
      <c r="B51" s="22"/>
      <c r="C51" s="20"/>
      <c r="D51" s="20"/>
      <c r="E51" s="26"/>
      <c r="F51" s="20"/>
      <c r="G51" s="28"/>
      <c r="H51" s="20"/>
      <c r="I51" s="29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5">
      <c r="B52" s="25" t="s">
        <v>53</v>
      </c>
      <c r="C52" s="20"/>
      <c r="D52" s="20"/>
      <c r="E52" s="26"/>
      <c r="F52" s="30">
        <f>F48+F50</f>
        <v>161971</v>
      </c>
      <c r="G52" s="28">
        <f>F52/$F$48</f>
        <v>0.42153601915469496</v>
      </c>
      <c r="H52" s="30">
        <f>H48+H50</f>
        <v>158991</v>
      </c>
      <c r="I52" s="29">
        <f>H52/$H$48</f>
        <v>0.411797767359942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5">
      <c r="B53" s="22"/>
      <c r="C53" s="20"/>
      <c r="D53" s="20"/>
      <c r="E53" s="26"/>
      <c r="F53" s="20"/>
      <c r="G53" s="28"/>
      <c r="H53" s="20"/>
      <c r="I53" s="29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5">
      <c r="B54" s="25" t="s">
        <v>54</v>
      </c>
      <c r="C54" s="20"/>
      <c r="D54" s="20"/>
      <c r="E54" s="26"/>
      <c r="F54" s="30"/>
      <c r="G54" s="28"/>
      <c r="H54" s="30"/>
      <c r="I54" s="29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5">
      <c r="B55" s="22" t="s">
        <v>55</v>
      </c>
      <c r="C55" s="20"/>
      <c r="D55" s="20"/>
      <c r="E55" s="26">
        <v>21</v>
      </c>
      <c r="F55" s="50">
        <v>-27327</v>
      </c>
      <c r="G55" s="28">
        <f>F55/$F$48</f>
        <v>-7.1119612742036223E-2</v>
      </c>
      <c r="H55" s="50">
        <v>-37523</v>
      </c>
      <c r="I55" s="29">
        <f>H55/$H$48</f>
        <v>-9.7187184335258622E-2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5">
      <c r="B56" s="22" t="s">
        <v>56</v>
      </c>
      <c r="C56" s="20"/>
      <c r="D56" s="20"/>
      <c r="E56" s="26">
        <v>21</v>
      </c>
      <c r="F56" s="50">
        <v>-10940</v>
      </c>
      <c r="G56" s="28">
        <f>F56/$F$48</f>
        <v>-2.847178846554237E-2</v>
      </c>
      <c r="H56" s="50">
        <v>-10846</v>
      </c>
      <c r="I56" s="29">
        <f>H56/$H$48</f>
        <v>-2.8091895671993578E-2</v>
      </c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ht="15.75" thickBot="1" x14ac:dyDescent="0.3">
      <c r="B57" s="22" t="s">
        <v>57</v>
      </c>
      <c r="C57" s="20"/>
      <c r="D57" s="20"/>
      <c r="E57" s="26">
        <v>22</v>
      </c>
      <c r="F57" s="51">
        <v>-14832</v>
      </c>
      <c r="G57" s="28">
        <f>F57/$F$48</f>
        <v>-3.8600874453466584E-2</v>
      </c>
      <c r="H57" s="51">
        <v>-27687</v>
      </c>
      <c r="I57" s="29">
        <f>H57/$H$48</f>
        <v>-7.1711259032867986E-2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5">
      <c r="B58" s="22"/>
      <c r="C58" s="20"/>
      <c r="D58" s="20"/>
      <c r="E58" s="26"/>
      <c r="F58" s="50"/>
      <c r="G58" s="28"/>
      <c r="H58" s="50"/>
      <c r="I58" s="29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5">
      <c r="B59" s="25" t="s">
        <v>58</v>
      </c>
      <c r="C59" s="18"/>
      <c r="D59" s="20"/>
      <c r="E59" s="26"/>
      <c r="F59" s="30">
        <f>SUM(F52:F57)</f>
        <v>108872</v>
      </c>
      <c r="G59" s="28">
        <f>F59/$F$48</f>
        <v>0.28334374349364982</v>
      </c>
      <c r="H59" s="30">
        <f>SUM(H52:H57)</f>
        <v>82935</v>
      </c>
      <c r="I59" s="29">
        <f>H59/$H$48</f>
        <v>0.2148074283198218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5">
      <c r="B60" s="22"/>
      <c r="C60" s="20"/>
      <c r="D60" s="20"/>
      <c r="E60" s="26"/>
      <c r="F60" s="50"/>
      <c r="G60" s="28"/>
      <c r="H60" s="50"/>
      <c r="I60" s="29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ht="15.75" thickBot="1" x14ac:dyDescent="0.3">
      <c r="B61" s="22" t="s">
        <v>59</v>
      </c>
      <c r="C61" s="20"/>
      <c r="D61" s="20"/>
      <c r="E61" s="26"/>
      <c r="F61" s="51">
        <v>-10812</v>
      </c>
      <c r="G61" s="28">
        <f>F61/$F$48</f>
        <v>-2.8138663335415367E-2</v>
      </c>
      <c r="H61" s="51">
        <v>-4287</v>
      </c>
      <c r="I61" s="29">
        <f>H61/$H$48</f>
        <v>-1.1103628687611698E-2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5">
      <c r="B62" s="22"/>
      <c r="C62" s="20"/>
      <c r="D62" s="20"/>
      <c r="E62" s="26"/>
      <c r="F62" s="20"/>
      <c r="G62" s="28"/>
      <c r="H62" s="20"/>
      <c r="I62" s="29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5">
      <c r="B63" s="25" t="s">
        <v>60</v>
      </c>
      <c r="C63" s="18"/>
      <c r="D63" s="18"/>
      <c r="E63" s="26"/>
      <c r="F63" s="30">
        <v>70515</v>
      </c>
      <c r="G63" s="28">
        <f>F63/$F$48</f>
        <v>0.18351811367895066</v>
      </c>
      <c r="H63" s="30">
        <v>78648</v>
      </c>
      <c r="I63" s="29">
        <f>H63/$H$48</f>
        <v>0.20370379963221011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5">
      <c r="B64" s="22"/>
      <c r="C64" s="20"/>
      <c r="D64" s="20"/>
      <c r="E64" s="26"/>
      <c r="F64" s="20"/>
      <c r="G64" s="28"/>
      <c r="H64" s="20"/>
      <c r="I64" s="29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ht="15.75" thickBot="1" x14ac:dyDescent="0.3">
      <c r="B65" s="22" t="s">
        <v>61</v>
      </c>
      <c r="C65" s="20"/>
      <c r="D65" s="20"/>
      <c r="E65" s="26">
        <v>17</v>
      </c>
      <c r="F65" s="51">
        <v>-11901</v>
      </c>
      <c r="G65" s="28">
        <f>F65/$F$48</f>
        <v>-3.0972829481574017E-2</v>
      </c>
      <c r="H65" s="51">
        <v>-11868</v>
      </c>
      <c r="I65" s="29">
        <f>H65/$H$48</f>
        <v>-3.0738946877671008E-2</v>
      </c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x14ac:dyDescent="0.25">
      <c r="B66" s="22"/>
      <c r="C66" s="20"/>
      <c r="D66" s="20"/>
      <c r="E66" s="26"/>
      <c r="F66" s="20"/>
      <c r="G66" s="28"/>
      <c r="H66" s="20"/>
      <c r="I66" s="29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x14ac:dyDescent="0.25">
      <c r="B67" s="25" t="s">
        <v>62</v>
      </c>
      <c r="C67" s="20"/>
      <c r="D67" s="20"/>
      <c r="E67" s="26"/>
      <c r="F67" s="27">
        <f>F63+F65</f>
        <v>58614</v>
      </c>
      <c r="G67" s="28">
        <f>F67/$F$48</f>
        <v>0.15254528419737665</v>
      </c>
      <c r="H67" s="27">
        <f>H63+H65</f>
        <v>66780</v>
      </c>
      <c r="I67" s="29">
        <f>H67/$H$48</f>
        <v>0.1729648527545391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x14ac:dyDescent="0.25">
      <c r="B68" s="22"/>
      <c r="C68" s="20"/>
      <c r="D68" s="20"/>
      <c r="E68" s="26"/>
      <c r="F68" s="20"/>
      <c r="G68" s="28"/>
      <c r="H68" s="20"/>
      <c r="I68" s="29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x14ac:dyDescent="0.25">
      <c r="B69" s="52" t="s">
        <v>63</v>
      </c>
      <c r="C69" s="53"/>
      <c r="D69" s="53"/>
      <c r="E69" s="26"/>
      <c r="F69" s="20"/>
      <c r="G69" s="28"/>
      <c r="H69" s="20"/>
      <c r="I69" s="29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x14ac:dyDescent="0.25">
      <c r="B70" s="6" t="s">
        <v>64</v>
      </c>
      <c r="C70" s="7"/>
      <c r="D70" s="7"/>
      <c r="E70" s="20"/>
      <c r="F70" s="20"/>
      <c r="G70" s="28"/>
      <c r="H70" s="20"/>
      <c r="I70" s="29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x14ac:dyDescent="0.25">
      <c r="B71" s="6" t="s">
        <v>65</v>
      </c>
      <c r="C71" s="7"/>
      <c r="D71" s="7"/>
      <c r="E71" s="20"/>
      <c r="F71" s="20"/>
      <c r="G71" s="28"/>
      <c r="H71" s="20"/>
      <c r="I71" s="29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ht="15.75" thickBot="1" x14ac:dyDescent="0.3">
      <c r="B72" s="6" t="s">
        <v>66</v>
      </c>
      <c r="C72" s="7"/>
      <c r="D72" s="7"/>
      <c r="E72" s="20"/>
      <c r="F72" s="48">
        <v>504</v>
      </c>
      <c r="G72" s="28"/>
      <c r="H72" s="48">
        <v>504</v>
      </c>
      <c r="I72" s="29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x14ac:dyDescent="0.25">
      <c r="B73" s="22"/>
      <c r="C73" s="20"/>
      <c r="D73" s="20"/>
      <c r="E73" s="20"/>
      <c r="F73" s="20"/>
      <c r="G73" s="28"/>
      <c r="H73" s="20"/>
      <c r="I73" s="29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5.75" thickBot="1" x14ac:dyDescent="0.3">
      <c r="B74" s="25" t="s">
        <v>67</v>
      </c>
      <c r="C74" s="20"/>
      <c r="D74" s="20"/>
      <c r="E74" s="20"/>
      <c r="F74" s="37">
        <f>F67+F72</f>
        <v>59118</v>
      </c>
      <c r="G74" s="28">
        <f>F74/$F$48</f>
        <v>0.15385696439725172</v>
      </c>
      <c r="H74" s="37">
        <f>H67+H72</f>
        <v>67284</v>
      </c>
      <c r="I74" s="29">
        <f>H74/$H$48</f>
        <v>0.17427024786966769</v>
      </c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x14ac:dyDescent="0.25">
      <c r="B75" s="22" t="s">
        <v>68</v>
      </c>
      <c r="C75" s="20"/>
      <c r="D75" s="20"/>
      <c r="E75" s="20"/>
      <c r="F75" s="54">
        <f>F67/F76</f>
        <v>2.860614934114202</v>
      </c>
      <c r="G75" s="28"/>
      <c r="H75" s="54">
        <f>H67/H76</f>
        <v>3.2591508052708638</v>
      </c>
      <c r="I75" s="29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x14ac:dyDescent="0.25">
      <c r="B76" s="22" t="s">
        <v>69</v>
      </c>
      <c r="C76" s="20"/>
      <c r="D76" s="20"/>
      <c r="E76" s="20"/>
      <c r="F76" s="30">
        <v>20490</v>
      </c>
      <c r="G76" s="28"/>
      <c r="H76" s="30">
        <v>20490</v>
      </c>
      <c r="I76" s="29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x14ac:dyDescent="0.25">
      <c r="B77" s="22"/>
      <c r="C77" s="20"/>
      <c r="D77" s="20"/>
      <c r="E77" s="20"/>
      <c r="F77" s="20"/>
      <c r="G77" s="20"/>
      <c r="H77" s="20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x14ac:dyDescent="0.25">
      <c r="B78" s="22" t="s">
        <v>70</v>
      </c>
      <c r="C78" s="20"/>
      <c r="D78" s="20"/>
      <c r="E78" s="20"/>
      <c r="F78" s="20"/>
      <c r="G78" s="20"/>
      <c r="H78" s="20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x14ac:dyDescent="0.25">
      <c r="B79" s="22"/>
      <c r="C79" s="20"/>
      <c r="D79" s="20"/>
      <c r="E79" s="20"/>
      <c r="F79" s="20"/>
      <c r="G79" s="20"/>
      <c r="H79" s="20"/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</sheetData>
  <mergeCells count="43">
    <mergeCell ref="B70:D70"/>
    <mergeCell ref="B71:D71"/>
    <mergeCell ref="B72:D72"/>
    <mergeCell ref="F44:H44"/>
    <mergeCell ref="B1:E2"/>
    <mergeCell ref="B40:I40"/>
    <mergeCell ref="B41:I41"/>
    <mergeCell ref="B42:I42"/>
    <mergeCell ref="B43:I43"/>
    <mergeCell ref="B69:D69"/>
    <mergeCell ref="L14:N14"/>
    <mergeCell ref="L15:M15"/>
    <mergeCell ref="L16:M16"/>
    <mergeCell ref="P10:R10"/>
    <mergeCell ref="B39:I39"/>
    <mergeCell ref="B28:D28"/>
    <mergeCell ref="B29:D29"/>
    <mergeCell ref="B33:D33"/>
    <mergeCell ref="F10:H10"/>
    <mergeCell ref="L5:S5"/>
    <mergeCell ref="L6:S6"/>
    <mergeCell ref="L7:S7"/>
    <mergeCell ref="L8:S8"/>
    <mergeCell ref="L9:S9"/>
    <mergeCell ref="L11:N11"/>
    <mergeCell ref="B22:D22"/>
    <mergeCell ref="B23:D23"/>
    <mergeCell ref="B24:D24"/>
    <mergeCell ref="B25:D25"/>
    <mergeCell ref="B26:D26"/>
    <mergeCell ref="B27:D27"/>
    <mergeCell ref="B14:D14"/>
    <mergeCell ref="B15:D15"/>
    <mergeCell ref="B16:D16"/>
    <mergeCell ref="B17:D17"/>
    <mergeCell ref="B18:D18"/>
    <mergeCell ref="B19:D19"/>
    <mergeCell ref="B5:I5"/>
    <mergeCell ref="B6:I6"/>
    <mergeCell ref="B7:I7"/>
    <mergeCell ref="B8:I8"/>
    <mergeCell ref="B9:I9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1</dc:creator>
  <cp:lastModifiedBy>Usuario 1</cp:lastModifiedBy>
  <dcterms:created xsi:type="dcterms:W3CDTF">2025-11-01T15:54:17Z</dcterms:created>
  <dcterms:modified xsi:type="dcterms:W3CDTF">2025-11-01T16:58:25Z</dcterms:modified>
</cp:coreProperties>
</file>